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pivotTables/pivotTable1.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zdavl\Documents\Financial Analysis Assignments\"/>
    </mc:Choice>
  </mc:AlternateContent>
  <xr:revisionPtr revIDLastSave="0" documentId="8_{98CED35F-DC5B-4908-9BD3-A0CE1315A718}" xr6:coauthVersionLast="47" xr6:coauthVersionMax="47" xr10:uidLastSave="{00000000-0000-0000-0000-000000000000}"/>
  <bookViews>
    <workbookView xWindow="-120" yWindow="-120" windowWidth="29040" windowHeight="16440" activeTab="5" xr2:uid="{DFC75793-97EA-464D-88F9-FFA2917EB28D}"/>
  </bookViews>
  <sheets>
    <sheet name=" Raw Data for God Type" sheetId="6" r:id="rId1"/>
    <sheet name="SrcData" sheetId="1" r:id="rId2"/>
    <sheet name="OrganizedData" sheetId="2" r:id="rId3"/>
    <sheet name="Transposed Table" sheetId="4" r:id="rId4"/>
    <sheet name="Solver Example" sheetId="7" r:id="rId5"/>
    <sheet name="God Release by year" sheetId="9" r:id="rId6"/>
  </sheets>
  <functionGroups builtInGroupCount="19"/>
  <definedNames>
    <definedName name="NativeTimeline_Date_of_Release">#N/A</definedName>
    <definedName name="Slicer_Class">#N/A</definedName>
    <definedName name="Smite_data" localSheetId="1">SrcData!$A$1:$A$968</definedName>
    <definedName name="solver_adj" localSheetId="4" hidden="1">'Solver Example'!$Q$2:$Q$121</definedName>
    <definedName name="solver_cvg" localSheetId="4" hidden="1">0.0001</definedName>
    <definedName name="solver_drv" localSheetId="4" hidden="1">1</definedName>
    <definedName name="solver_eng" localSheetId="4" hidden="1">2</definedName>
    <definedName name="solver_est" localSheetId="4" hidden="1">1</definedName>
    <definedName name="solver_itr" localSheetId="4" hidden="1">2147483647</definedName>
    <definedName name="solver_lhs1" localSheetId="4" hidden="1">'Solver Example'!$Q$123</definedName>
    <definedName name="solver_lhs2" localSheetId="4" hidden="1">'Solver Example'!$Q$2:$Q$121</definedName>
    <definedName name="solver_lhs3" localSheetId="4" hidden="1">'Solver Example'!$R$122</definedName>
    <definedName name="solver_lhs4" localSheetId="4" hidden="1">'Solver Example'!$S$122</definedName>
    <definedName name="solver_lhs5" localSheetId="4" hidden="1">'Solver Example'!$T$122</definedName>
    <definedName name="solver_lhs6" localSheetId="4" hidden="1">'Solver Example'!$U$122</definedName>
    <definedName name="solver_lhs7" localSheetId="4" hidden="1">'Solver Example'!$V$122</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7</definedName>
    <definedName name="solver_nwt" localSheetId="4" hidden="1">1</definedName>
    <definedName name="solver_opt" localSheetId="4" hidden="1">'Solver Example'!$B$123</definedName>
    <definedName name="solver_pre" localSheetId="4" hidden="1">0.000001</definedName>
    <definedName name="solver_rbv" localSheetId="4" hidden="1">1</definedName>
    <definedName name="solver_rel1" localSheetId="4" hidden="1">2</definedName>
    <definedName name="solver_rel2" localSheetId="4" hidden="1">5</definedName>
    <definedName name="solver_rel3" localSheetId="4" hidden="1">2</definedName>
    <definedName name="solver_rel4" localSheetId="4" hidden="1">2</definedName>
    <definedName name="solver_rel5" localSheetId="4" hidden="1">2</definedName>
    <definedName name="solver_rel6" localSheetId="4" hidden="1">2</definedName>
    <definedName name="solver_rel7" localSheetId="4" hidden="1">2</definedName>
    <definedName name="solver_rhs1" localSheetId="4" hidden="1">5</definedName>
    <definedName name="solver_rhs2" localSheetId="4" hidden="1">"binary"</definedName>
    <definedName name="solver_rhs3" localSheetId="4" hidden="1">1</definedName>
    <definedName name="solver_rhs4" localSheetId="4" hidden="1">1</definedName>
    <definedName name="solver_rhs5" localSheetId="4" hidden="1">1</definedName>
    <definedName name="solver_rhs6" localSheetId="4" hidden="1">1</definedName>
    <definedName name="solver_rhs7" localSheetId="4" hidden="1">1</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1</definedName>
    <definedName name="solver_val" localSheetId="4" hidden="1">0</definedName>
    <definedName name="solver_ver" localSheetId="4" hidden="1">3</definedName>
  </definedNames>
  <calcPr calcId="18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O2" i="7" l="1"/>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Q123" i="7"/>
  <c r="D123" i="7"/>
  <c r="E123" i="7"/>
  <c r="F123" i="7"/>
  <c r="G123" i="7"/>
  <c r="C123" i="7"/>
  <c r="B123" i="7"/>
  <c r="B124" i="7" s="1"/>
  <c r="N121" i="7"/>
  <c r="M121" i="7"/>
  <c r="L121" i="7"/>
  <c r="K121" i="7"/>
  <c r="V121" i="7" s="1"/>
  <c r="J121" i="7"/>
  <c r="H121" i="7"/>
  <c r="I121" i="7" s="1"/>
  <c r="N120" i="7"/>
  <c r="M120" i="7"/>
  <c r="L120" i="7"/>
  <c r="K120" i="7"/>
  <c r="S120" i="7" s="1"/>
  <c r="J120" i="7"/>
  <c r="H120" i="7"/>
  <c r="I120" i="7" s="1"/>
  <c r="N119" i="7"/>
  <c r="M119" i="7"/>
  <c r="L119" i="7"/>
  <c r="K119" i="7"/>
  <c r="V119" i="7" s="1"/>
  <c r="J119" i="7"/>
  <c r="H119" i="7"/>
  <c r="I119" i="7" s="1"/>
  <c r="N118" i="7"/>
  <c r="M118" i="7"/>
  <c r="L118" i="7"/>
  <c r="K118" i="7"/>
  <c r="R118" i="7" s="1"/>
  <c r="J118" i="7"/>
  <c r="H118" i="7"/>
  <c r="I118" i="7" s="1"/>
  <c r="N117" i="7"/>
  <c r="M117" i="7"/>
  <c r="L117" i="7"/>
  <c r="K117" i="7"/>
  <c r="V117" i="7" s="1"/>
  <c r="J117" i="7"/>
  <c r="H117" i="7"/>
  <c r="I117" i="7" s="1"/>
  <c r="N116" i="7"/>
  <c r="M116" i="7"/>
  <c r="L116" i="7"/>
  <c r="K116" i="7"/>
  <c r="S116" i="7" s="1"/>
  <c r="J116" i="7"/>
  <c r="H116" i="7"/>
  <c r="I116" i="7" s="1"/>
  <c r="N115" i="7"/>
  <c r="M115" i="7"/>
  <c r="L115" i="7"/>
  <c r="K115" i="7"/>
  <c r="U115" i="7" s="1"/>
  <c r="J115" i="7"/>
  <c r="H115" i="7"/>
  <c r="I115" i="7" s="1"/>
  <c r="N114" i="7"/>
  <c r="M114" i="7"/>
  <c r="L114" i="7"/>
  <c r="K114" i="7"/>
  <c r="S114" i="7" s="1"/>
  <c r="J114" i="7"/>
  <c r="H114" i="7"/>
  <c r="I114" i="7" s="1"/>
  <c r="N113" i="7"/>
  <c r="M113" i="7"/>
  <c r="L113" i="7"/>
  <c r="K113" i="7"/>
  <c r="V113" i="7" s="1"/>
  <c r="J113" i="7"/>
  <c r="H113" i="7"/>
  <c r="I113" i="7" s="1"/>
  <c r="N112" i="7"/>
  <c r="M112" i="7"/>
  <c r="L112" i="7"/>
  <c r="K112" i="7"/>
  <c r="S112" i="7" s="1"/>
  <c r="J112" i="7"/>
  <c r="H112" i="7"/>
  <c r="I112" i="7" s="1"/>
  <c r="N111" i="7"/>
  <c r="M111" i="7"/>
  <c r="L111" i="7"/>
  <c r="K111" i="7"/>
  <c r="V111" i="7" s="1"/>
  <c r="J111" i="7"/>
  <c r="H111" i="7"/>
  <c r="I111" i="7" s="1"/>
  <c r="N110" i="7"/>
  <c r="M110" i="7"/>
  <c r="L110" i="7"/>
  <c r="K110" i="7"/>
  <c r="J110" i="7"/>
  <c r="H110" i="7"/>
  <c r="I110" i="7" s="1"/>
  <c r="N109" i="7"/>
  <c r="M109" i="7"/>
  <c r="L109" i="7"/>
  <c r="K109" i="7"/>
  <c r="V109" i="7" s="1"/>
  <c r="J109" i="7"/>
  <c r="H109" i="7"/>
  <c r="I109" i="7" s="1"/>
  <c r="N108" i="7"/>
  <c r="M108" i="7"/>
  <c r="L108" i="7"/>
  <c r="K108" i="7"/>
  <c r="J108" i="7"/>
  <c r="H108" i="7"/>
  <c r="I108" i="7" s="1"/>
  <c r="N107" i="7"/>
  <c r="M107" i="7"/>
  <c r="L107" i="7"/>
  <c r="K107" i="7"/>
  <c r="V107" i="7" s="1"/>
  <c r="J107" i="7"/>
  <c r="H107" i="7"/>
  <c r="I107" i="7" s="1"/>
  <c r="N106" i="7"/>
  <c r="M106" i="7"/>
  <c r="L106" i="7"/>
  <c r="K106" i="7"/>
  <c r="S106" i="7" s="1"/>
  <c r="J106" i="7"/>
  <c r="H106" i="7"/>
  <c r="I106" i="7" s="1"/>
  <c r="N105" i="7"/>
  <c r="M105" i="7"/>
  <c r="L105" i="7"/>
  <c r="K105" i="7"/>
  <c r="V105" i="7" s="1"/>
  <c r="J105" i="7"/>
  <c r="H105" i="7"/>
  <c r="I105" i="7" s="1"/>
  <c r="N104" i="7"/>
  <c r="M104" i="7"/>
  <c r="L104" i="7"/>
  <c r="K104" i="7"/>
  <c r="J104" i="7"/>
  <c r="H104" i="7"/>
  <c r="I104" i="7" s="1"/>
  <c r="N103" i="7"/>
  <c r="M103" i="7"/>
  <c r="L103" i="7"/>
  <c r="K103" i="7"/>
  <c r="J103" i="7"/>
  <c r="H103" i="7"/>
  <c r="I103" i="7" s="1"/>
  <c r="N102" i="7"/>
  <c r="M102" i="7"/>
  <c r="L102" i="7"/>
  <c r="K102" i="7"/>
  <c r="R102" i="7" s="1"/>
  <c r="J102" i="7"/>
  <c r="I102" i="7"/>
  <c r="H102" i="7"/>
  <c r="N101" i="7"/>
  <c r="M101" i="7"/>
  <c r="L101" i="7"/>
  <c r="K101" i="7"/>
  <c r="V101" i="7" s="1"/>
  <c r="J101" i="7"/>
  <c r="H101" i="7"/>
  <c r="I101" i="7" s="1"/>
  <c r="N100" i="7"/>
  <c r="M100" i="7"/>
  <c r="L100" i="7"/>
  <c r="K100" i="7"/>
  <c r="S100" i="7" s="1"/>
  <c r="J100" i="7"/>
  <c r="H100" i="7"/>
  <c r="I100" i="7" s="1"/>
  <c r="N99" i="7"/>
  <c r="M99" i="7"/>
  <c r="L99" i="7"/>
  <c r="K99" i="7"/>
  <c r="V99" i="7" s="1"/>
  <c r="J99" i="7"/>
  <c r="H99" i="7"/>
  <c r="I99" i="7" s="1"/>
  <c r="N98" i="7"/>
  <c r="M98" i="7"/>
  <c r="L98" i="7"/>
  <c r="K98" i="7"/>
  <c r="J98" i="7"/>
  <c r="H98" i="7"/>
  <c r="I98" i="7" s="1"/>
  <c r="N97" i="7"/>
  <c r="M97" i="7"/>
  <c r="L97" i="7"/>
  <c r="K97" i="7"/>
  <c r="V97" i="7" s="1"/>
  <c r="J97" i="7"/>
  <c r="H97" i="7"/>
  <c r="I97" i="7" s="1"/>
  <c r="N96" i="7"/>
  <c r="M96" i="7"/>
  <c r="L96" i="7"/>
  <c r="K96" i="7"/>
  <c r="S96" i="7" s="1"/>
  <c r="J96" i="7"/>
  <c r="H96" i="7"/>
  <c r="I96" i="7" s="1"/>
  <c r="N95" i="7"/>
  <c r="M95" i="7"/>
  <c r="L95" i="7"/>
  <c r="K95" i="7"/>
  <c r="V95" i="7" s="1"/>
  <c r="J95" i="7"/>
  <c r="H95" i="7"/>
  <c r="I95" i="7" s="1"/>
  <c r="N94" i="7"/>
  <c r="M94" i="7"/>
  <c r="L94" i="7"/>
  <c r="K94" i="7"/>
  <c r="R94" i="7" s="1"/>
  <c r="J94" i="7"/>
  <c r="H94" i="7"/>
  <c r="I94" i="7" s="1"/>
  <c r="N93" i="7"/>
  <c r="M93" i="7"/>
  <c r="L93" i="7"/>
  <c r="K93" i="7"/>
  <c r="R93" i="7" s="1"/>
  <c r="J93" i="7"/>
  <c r="H93" i="7"/>
  <c r="I93" i="7" s="1"/>
  <c r="N92" i="7"/>
  <c r="M92" i="7"/>
  <c r="L92" i="7"/>
  <c r="K92" i="7"/>
  <c r="S92" i="7" s="1"/>
  <c r="J92" i="7"/>
  <c r="H92" i="7"/>
  <c r="I92" i="7" s="1"/>
  <c r="N91" i="7"/>
  <c r="M91" i="7"/>
  <c r="L91" i="7"/>
  <c r="K91" i="7"/>
  <c r="V91" i="7" s="1"/>
  <c r="J91" i="7"/>
  <c r="H91" i="7"/>
  <c r="I91" i="7" s="1"/>
  <c r="N90" i="7"/>
  <c r="M90" i="7"/>
  <c r="L90" i="7"/>
  <c r="K90" i="7"/>
  <c r="S90" i="7" s="1"/>
  <c r="J90" i="7"/>
  <c r="H90" i="7"/>
  <c r="I90" i="7" s="1"/>
  <c r="N89" i="7"/>
  <c r="M89" i="7"/>
  <c r="L89" i="7"/>
  <c r="K89" i="7"/>
  <c r="V89" i="7" s="1"/>
  <c r="J89" i="7"/>
  <c r="H89" i="7"/>
  <c r="I89" i="7" s="1"/>
  <c r="N88" i="7"/>
  <c r="M88" i="7"/>
  <c r="L88" i="7"/>
  <c r="K88" i="7"/>
  <c r="J88" i="7"/>
  <c r="H88" i="7"/>
  <c r="I88" i="7" s="1"/>
  <c r="N87" i="7"/>
  <c r="M87" i="7"/>
  <c r="L87" i="7"/>
  <c r="K87" i="7"/>
  <c r="V87" i="7" s="1"/>
  <c r="J87" i="7"/>
  <c r="H87" i="7"/>
  <c r="I87" i="7" s="1"/>
  <c r="N86" i="7"/>
  <c r="M86" i="7"/>
  <c r="L86" i="7"/>
  <c r="K86" i="7"/>
  <c r="R86" i="7" s="1"/>
  <c r="J86" i="7"/>
  <c r="H86" i="7"/>
  <c r="I86" i="7" s="1"/>
  <c r="N85" i="7"/>
  <c r="M85" i="7"/>
  <c r="L85" i="7"/>
  <c r="K85" i="7"/>
  <c r="V85" i="7" s="1"/>
  <c r="J85" i="7"/>
  <c r="H85" i="7"/>
  <c r="I85" i="7" s="1"/>
  <c r="N84" i="7"/>
  <c r="M84" i="7"/>
  <c r="L84" i="7"/>
  <c r="K84" i="7"/>
  <c r="S84" i="7" s="1"/>
  <c r="J84" i="7"/>
  <c r="H84" i="7"/>
  <c r="I84" i="7" s="1"/>
  <c r="N83" i="7"/>
  <c r="M83" i="7"/>
  <c r="L83" i="7"/>
  <c r="K83" i="7"/>
  <c r="J83" i="7"/>
  <c r="H83" i="7"/>
  <c r="I83" i="7" s="1"/>
  <c r="N82" i="7"/>
  <c r="M82" i="7"/>
  <c r="L82" i="7"/>
  <c r="K82" i="7"/>
  <c r="S82" i="7" s="1"/>
  <c r="J82" i="7"/>
  <c r="H82" i="7"/>
  <c r="I82" i="7" s="1"/>
  <c r="N81" i="7"/>
  <c r="M81" i="7"/>
  <c r="L81" i="7"/>
  <c r="K81" i="7"/>
  <c r="V81" i="7" s="1"/>
  <c r="J81" i="7"/>
  <c r="H81" i="7"/>
  <c r="I81" i="7" s="1"/>
  <c r="N80" i="7"/>
  <c r="M80" i="7"/>
  <c r="L80" i="7"/>
  <c r="K80" i="7"/>
  <c r="S80" i="7" s="1"/>
  <c r="J80" i="7"/>
  <c r="H80" i="7"/>
  <c r="I80" i="7" s="1"/>
  <c r="N79" i="7"/>
  <c r="M79" i="7"/>
  <c r="L79" i="7"/>
  <c r="K79" i="7"/>
  <c r="U79" i="7" s="1"/>
  <c r="J79" i="7"/>
  <c r="H79" i="7"/>
  <c r="I79" i="7" s="1"/>
  <c r="N78" i="7"/>
  <c r="M78" i="7"/>
  <c r="L78" i="7"/>
  <c r="K78" i="7"/>
  <c r="J78" i="7"/>
  <c r="H78" i="7"/>
  <c r="I78" i="7" s="1"/>
  <c r="N77" i="7"/>
  <c r="M77" i="7"/>
  <c r="L77" i="7"/>
  <c r="K77" i="7"/>
  <c r="V77" i="7" s="1"/>
  <c r="J77" i="7"/>
  <c r="H77" i="7"/>
  <c r="I77" i="7" s="1"/>
  <c r="N76" i="7"/>
  <c r="M76" i="7"/>
  <c r="L76" i="7"/>
  <c r="K76" i="7"/>
  <c r="S76" i="7" s="1"/>
  <c r="J76" i="7"/>
  <c r="H76" i="7"/>
  <c r="I76" i="7" s="1"/>
  <c r="N75" i="7"/>
  <c r="M75" i="7"/>
  <c r="L75" i="7"/>
  <c r="K75" i="7"/>
  <c r="V75" i="7" s="1"/>
  <c r="J75" i="7"/>
  <c r="H75" i="7"/>
  <c r="I75" i="7" s="1"/>
  <c r="N74" i="7"/>
  <c r="M74" i="7"/>
  <c r="L74" i="7"/>
  <c r="K74" i="7"/>
  <c r="S74" i="7" s="1"/>
  <c r="J74" i="7"/>
  <c r="H74" i="7"/>
  <c r="I74" i="7" s="1"/>
  <c r="N73" i="7"/>
  <c r="M73" i="7"/>
  <c r="L73" i="7"/>
  <c r="K73" i="7"/>
  <c r="U73" i="7" s="1"/>
  <c r="J73" i="7"/>
  <c r="H73" i="7"/>
  <c r="I73" i="7" s="1"/>
  <c r="N72" i="7"/>
  <c r="M72" i="7"/>
  <c r="L72" i="7"/>
  <c r="K72" i="7"/>
  <c r="J72" i="7"/>
  <c r="H72" i="7"/>
  <c r="I72" i="7" s="1"/>
  <c r="N71" i="7"/>
  <c r="M71" i="7"/>
  <c r="L71" i="7"/>
  <c r="K71" i="7"/>
  <c r="V71" i="7" s="1"/>
  <c r="J71" i="7"/>
  <c r="H71" i="7"/>
  <c r="I71" i="7" s="1"/>
  <c r="N70" i="7"/>
  <c r="M70" i="7"/>
  <c r="L70" i="7"/>
  <c r="K70" i="7"/>
  <c r="R70" i="7" s="1"/>
  <c r="J70" i="7"/>
  <c r="I70" i="7"/>
  <c r="H70" i="7"/>
  <c r="N69" i="7"/>
  <c r="M69" i="7"/>
  <c r="L69" i="7"/>
  <c r="K69" i="7"/>
  <c r="V69" i="7" s="1"/>
  <c r="J69" i="7"/>
  <c r="H69" i="7"/>
  <c r="I69" i="7" s="1"/>
  <c r="N68" i="7"/>
  <c r="M68" i="7"/>
  <c r="L68" i="7"/>
  <c r="K68" i="7"/>
  <c r="J68" i="7"/>
  <c r="H68" i="7"/>
  <c r="I68" i="7" s="1"/>
  <c r="N67" i="7"/>
  <c r="M67" i="7"/>
  <c r="L67" i="7"/>
  <c r="K67" i="7"/>
  <c r="J67" i="7"/>
  <c r="H67" i="7"/>
  <c r="I67" i="7" s="1"/>
  <c r="N66" i="7"/>
  <c r="M66" i="7"/>
  <c r="L66" i="7"/>
  <c r="K66" i="7"/>
  <c r="S66" i="7" s="1"/>
  <c r="J66" i="7"/>
  <c r="H66" i="7"/>
  <c r="I66" i="7" s="1"/>
  <c r="N65" i="7"/>
  <c r="M65" i="7"/>
  <c r="L65" i="7"/>
  <c r="K65" i="7"/>
  <c r="V65" i="7" s="1"/>
  <c r="J65" i="7"/>
  <c r="H65" i="7"/>
  <c r="I65" i="7" s="1"/>
  <c r="N64" i="7"/>
  <c r="M64" i="7"/>
  <c r="L64" i="7"/>
  <c r="K64" i="7"/>
  <c r="S64" i="7" s="1"/>
  <c r="J64" i="7"/>
  <c r="H64" i="7"/>
  <c r="I64" i="7" s="1"/>
  <c r="N63" i="7"/>
  <c r="M63" i="7"/>
  <c r="L63" i="7"/>
  <c r="K63" i="7"/>
  <c r="U63" i="7" s="1"/>
  <c r="J63" i="7"/>
  <c r="H63" i="7"/>
  <c r="I63" i="7" s="1"/>
  <c r="N62" i="7"/>
  <c r="M62" i="7"/>
  <c r="L62" i="7"/>
  <c r="K62" i="7"/>
  <c r="J62" i="7"/>
  <c r="H62" i="7"/>
  <c r="I62" i="7" s="1"/>
  <c r="N61" i="7"/>
  <c r="M61" i="7"/>
  <c r="L61" i="7"/>
  <c r="K61" i="7"/>
  <c r="V61" i="7" s="1"/>
  <c r="J61" i="7"/>
  <c r="H61" i="7"/>
  <c r="I61" i="7" s="1"/>
  <c r="N60" i="7"/>
  <c r="M60" i="7"/>
  <c r="L60" i="7"/>
  <c r="K60" i="7"/>
  <c r="S60" i="7" s="1"/>
  <c r="J60" i="7"/>
  <c r="H60" i="7"/>
  <c r="I60" i="7" s="1"/>
  <c r="N59" i="7"/>
  <c r="M59" i="7"/>
  <c r="L59" i="7"/>
  <c r="K59" i="7"/>
  <c r="V59" i="7" s="1"/>
  <c r="J59" i="7"/>
  <c r="H59" i="7"/>
  <c r="I59" i="7" s="1"/>
  <c r="N58" i="7"/>
  <c r="M58" i="7"/>
  <c r="L58" i="7"/>
  <c r="K58" i="7"/>
  <c r="S58" i="7" s="1"/>
  <c r="J58" i="7"/>
  <c r="H58" i="7"/>
  <c r="I58" i="7" s="1"/>
  <c r="N57" i="7"/>
  <c r="M57" i="7"/>
  <c r="L57" i="7"/>
  <c r="K57" i="7"/>
  <c r="J57" i="7"/>
  <c r="H57" i="7"/>
  <c r="I57" i="7" s="1"/>
  <c r="N56" i="7"/>
  <c r="M56" i="7"/>
  <c r="L56" i="7"/>
  <c r="K56" i="7"/>
  <c r="J56" i="7"/>
  <c r="H56" i="7"/>
  <c r="I56" i="7" s="1"/>
  <c r="N55" i="7"/>
  <c r="M55" i="7"/>
  <c r="L55" i="7"/>
  <c r="K55" i="7"/>
  <c r="V55" i="7" s="1"/>
  <c r="J55" i="7"/>
  <c r="H55" i="7"/>
  <c r="I55" i="7" s="1"/>
  <c r="N54" i="7"/>
  <c r="M54" i="7"/>
  <c r="L54" i="7"/>
  <c r="K54" i="7"/>
  <c r="R54" i="7" s="1"/>
  <c r="J54" i="7"/>
  <c r="H54" i="7"/>
  <c r="I54" i="7" s="1"/>
  <c r="N53" i="7"/>
  <c r="M53" i="7"/>
  <c r="L53" i="7"/>
  <c r="K53" i="7"/>
  <c r="V53" i="7" s="1"/>
  <c r="J53" i="7"/>
  <c r="H53" i="7"/>
  <c r="I53" i="7" s="1"/>
  <c r="N52" i="7"/>
  <c r="M52" i="7"/>
  <c r="L52" i="7"/>
  <c r="K52" i="7"/>
  <c r="J52" i="7"/>
  <c r="H52" i="7"/>
  <c r="I52" i="7" s="1"/>
  <c r="N51" i="7"/>
  <c r="M51" i="7"/>
  <c r="L51" i="7"/>
  <c r="K51" i="7"/>
  <c r="J51" i="7"/>
  <c r="H51" i="7"/>
  <c r="I51" i="7" s="1"/>
  <c r="N50" i="7"/>
  <c r="M50" i="7"/>
  <c r="L50" i="7"/>
  <c r="K50" i="7"/>
  <c r="S50" i="7" s="1"/>
  <c r="J50" i="7"/>
  <c r="H50" i="7"/>
  <c r="I50" i="7" s="1"/>
  <c r="N49" i="7"/>
  <c r="M49" i="7"/>
  <c r="L49" i="7"/>
  <c r="K49" i="7"/>
  <c r="V49" i="7" s="1"/>
  <c r="J49" i="7"/>
  <c r="H49" i="7"/>
  <c r="I49" i="7" s="1"/>
  <c r="N48" i="7"/>
  <c r="M48" i="7"/>
  <c r="L48" i="7"/>
  <c r="K48" i="7"/>
  <c r="S48" i="7" s="1"/>
  <c r="J48" i="7"/>
  <c r="H48" i="7"/>
  <c r="I48" i="7" s="1"/>
  <c r="N47" i="7"/>
  <c r="M47" i="7"/>
  <c r="L47" i="7"/>
  <c r="K47" i="7"/>
  <c r="U47" i="7" s="1"/>
  <c r="J47" i="7"/>
  <c r="H47" i="7"/>
  <c r="I47" i="7" s="1"/>
  <c r="N46" i="7"/>
  <c r="M46" i="7"/>
  <c r="L46" i="7"/>
  <c r="K46" i="7"/>
  <c r="J46" i="7"/>
  <c r="H46" i="7"/>
  <c r="I46" i="7" s="1"/>
  <c r="N45" i="7"/>
  <c r="M45" i="7"/>
  <c r="L45" i="7"/>
  <c r="K45" i="7"/>
  <c r="V45" i="7" s="1"/>
  <c r="J45" i="7"/>
  <c r="H45" i="7"/>
  <c r="I45" i="7" s="1"/>
  <c r="N44" i="7"/>
  <c r="M44" i="7"/>
  <c r="L44" i="7"/>
  <c r="K44" i="7"/>
  <c r="S44" i="7" s="1"/>
  <c r="J44" i="7"/>
  <c r="H44" i="7"/>
  <c r="I44" i="7" s="1"/>
  <c r="N43" i="7"/>
  <c r="M43" i="7"/>
  <c r="L43" i="7"/>
  <c r="K43" i="7"/>
  <c r="V43" i="7" s="1"/>
  <c r="J43" i="7"/>
  <c r="H43" i="7"/>
  <c r="I43" i="7" s="1"/>
  <c r="N42" i="7"/>
  <c r="M42" i="7"/>
  <c r="L42" i="7"/>
  <c r="K42" i="7"/>
  <c r="J42" i="7"/>
  <c r="H42" i="7"/>
  <c r="I42" i="7" s="1"/>
  <c r="N41" i="7"/>
  <c r="M41" i="7"/>
  <c r="L41" i="7"/>
  <c r="K41" i="7"/>
  <c r="J41" i="7"/>
  <c r="H41" i="7"/>
  <c r="I41" i="7" s="1"/>
  <c r="N40" i="7"/>
  <c r="M40" i="7"/>
  <c r="L40" i="7"/>
  <c r="K40" i="7"/>
  <c r="J40" i="7"/>
  <c r="H40" i="7"/>
  <c r="I40" i="7" s="1"/>
  <c r="N39" i="7"/>
  <c r="M39" i="7"/>
  <c r="L39" i="7"/>
  <c r="K39" i="7"/>
  <c r="V39" i="7" s="1"/>
  <c r="J39" i="7"/>
  <c r="H39" i="7"/>
  <c r="I39" i="7" s="1"/>
  <c r="N38" i="7"/>
  <c r="M38" i="7"/>
  <c r="L38" i="7"/>
  <c r="K38" i="7"/>
  <c r="R38" i="7" s="1"/>
  <c r="J38" i="7"/>
  <c r="H38" i="7"/>
  <c r="I38" i="7" s="1"/>
  <c r="N37" i="7"/>
  <c r="M37" i="7"/>
  <c r="L37" i="7"/>
  <c r="K37" i="7"/>
  <c r="J37" i="7"/>
  <c r="H37" i="7"/>
  <c r="I37" i="7" s="1"/>
  <c r="N36" i="7"/>
  <c r="M36" i="7"/>
  <c r="L36" i="7"/>
  <c r="K36" i="7"/>
  <c r="J36" i="7"/>
  <c r="H36" i="7"/>
  <c r="I36" i="7" s="1"/>
  <c r="N35" i="7"/>
  <c r="M35" i="7"/>
  <c r="L35" i="7"/>
  <c r="K35" i="7"/>
  <c r="J35" i="7"/>
  <c r="H35" i="7"/>
  <c r="I35" i="7" s="1"/>
  <c r="N34" i="7"/>
  <c r="M34" i="7"/>
  <c r="L34" i="7"/>
  <c r="K34" i="7"/>
  <c r="S34" i="7" s="1"/>
  <c r="J34" i="7"/>
  <c r="H34" i="7"/>
  <c r="I34" i="7" s="1"/>
  <c r="N33" i="7"/>
  <c r="M33" i="7"/>
  <c r="L33" i="7"/>
  <c r="K33" i="7"/>
  <c r="U33" i="7" s="1"/>
  <c r="J33" i="7"/>
  <c r="H33" i="7"/>
  <c r="I33" i="7" s="1"/>
  <c r="N32" i="7"/>
  <c r="M32" i="7"/>
  <c r="L32" i="7"/>
  <c r="K32" i="7"/>
  <c r="S32" i="7" s="1"/>
  <c r="J32" i="7"/>
  <c r="H32" i="7"/>
  <c r="I32" i="7" s="1"/>
  <c r="N31" i="7"/>
  <c r="M31" i="7"/>
  <c r="L31" i="7"/>
  <c r="K31" i="7"/>
  <c r="U31" i="7" s="1"/>
  <c r="J31" i="7"/>
  <c r="H31" i="7"/>
  <c r="I31" i="7" s="1"/>
  <c r="N30" i="7"/>
  <c r="M30" i="7"/>
  <c r="L30" i="7"/>
  <c r="K30" i="7"/>
  <c r="J30" i="7"/>
  <c r="H30" i="7"/>
  <c r="I30" i="7" s="1"/>
  <c r="N29" i="7"/>
  <c r="M29" i="7"/>
  <c r="L29" i="7"/>
  <c r="K29" i="7"/>
  <c r="V29" i="7" s="1"/>
  <c r="J29" i="7"/>
  <c r="H29" i="7"/>
  <c r="I29" i="7" s="1"/>
  <c r="N28" i="7"/>
  <c r="M28" i="7"/>
  <c r="L28" i="7"/>
  <c r="K28" i="7"/>
  <c r="J28" i="7"/>
  <c r="H28" i="7"/>
  <c r="I28" i="7" s="1"/>
  <c r="N27" i="7"/>
  <c r="M27" i="7"/>
  <c r="L27" i="7"/>
  <c r="K27" i="7"/>
  <c r="V27" i="7" s="1"/>
  <c r="J27" i="7"/>
  <c r="H27" i="7"/>
  <c r="I27" i="7" s="1"/>
  <c r="N26" i="7"/>
  <c r="M26" i="7"/>
  <c r="L26" i="7"/>
  <c r="K26" i="7"/>
  <c r="J26" i="7"/>
  <c r="H26" i="7"/>
  <c r="I26" i="7" s="1"/>
  <c r="N25" i="7"/>
  <c r="M25" i="7"/>
  <c r="L25" i="7"/>
  <c r="K25" i="7"/>
  <c r="J25" i="7"/>
  <c r="H25" i="7"/>
  <c r="I25" i="7" s="1"/>
  <c r="N24" i="7"/>
  <c r="M24" i="7"/>
  <c r="L24" i="7"/>
  <c r="K24" i="7"/>
  <c r="J24" i="7"/>
  <c r="H24" i="7"/>
  <c r="I24" i="7" s="1"/>
  <c r="N23" i="7"/>
  <c r="M23" i="7"/>
  <c r="L23" i="7"/>
  <c r="K23" i="7"/>
  <c r="J23" i="7"/>
  <c r="H23" i="7"/>
  <c r="I23" i="7" s="1"/>
  <c r="N22" i="7"/>
  <c r="M22" i="7"/>
  <c r="L22" i="7"/>
  <c r="K22" i="7"/>
  <c r="R22" i="7" s="1"/>
  <c r="J22" i="7"/>
  <c r="H22" i="7"/>
  <c r="I22" i="7" s="1"/>
  <c r="N21" i="7"/>
  <c r="M21" i="7"/>
  <c r="L21" i="7"/>
  <c r="K21" i="7"/>
  <c r="J21" i="7"/>
  <c r="H21" i="7"/>
  <c r="I21" i="7" s="1"/>
  <c r="N20" i="7"/>
  <c r="M20" i="7"/>
  <c r="L20" i="7"/>
  <c r="K20" i="7"/>
  <c r="J20" i="7"/>
  <c r="H20" i="7"/>
  <c r="I20" i="7" s="1"/>
  <c r="N19" i="7"/>
  <c r="M19" i="7"/>
  <c r="L19" i="7"/>
  <c r="K19" i="7"/>
  <c r="J19" i="7"/>
  <c r="H19" i="7"/>
  <c r="I19" i="7" s="1"/>
  <c r="N18" i="7"/>
  <c r="M18" i="7"/>
  <c r="L18" i="7"/>
  <c r="K18" i="7"/>
  <c r="S18" i="7" s="1"/>
  <c r="J18" i="7"/>
  <c r="H18" i="7"/>
  <c r="I18" i="7" s="1"/>
  <c r="N17" i="7"/>
  <c r="M17" i="7"/>
  <c r="L17" i="7"/>
  <c r="K17" i="7"/>
  <c r="J17" i="7"/>
  <c r="H17" i="7"/>
  <c r="I17" i="7" s="1"/>
  <c r="N16" i="7"/>
  <c r="M16" i="7"/>
  <c r="L16" i="7"/>
  <c r="K16" i="7"/>
  <c r="J16" i="7"/>
  <c r="H16" i="7"/>
  <c r="I16" i="7" s="1"/>
  <c r="N15" i="7"/>
  <c r="M15" i="7"/>
  <c r="L15" i="7"/>
  <c r="K15" i="7"/>
  <c r="U15" i="7" s="1"/>
  <c r="J15" i="7"/>
  <c r="H15" i="7"/>
  <c r="I15" i="7" s="1"/>
  <c r="N14" i="7"/>
  <c r="M14" i="7"/>
  <c r="L14" i="7"/>
  <c r="K14" i="7"/>
  <c r="J14" i="7"/>
  <c r="H14" i="7"/>
  <c r="I14" i="7" s="1"/>
  <c r="N13" i="7"/>
  <c r="M13" i="7"/>
  <c r="L13" i="7"/>
  <c r="K13" i="7"/>
  <c r="J13" i="7"/>
  <c r="H13" i="7"/>
  <c r="I13" i="7" s="1"/>
  <c r="N12" i="7"/>
  <c r="M12" i="7"/>
  <c r="L12" i="7"/>
  <c r="K12" i="7"/>
  <c r="J12" i="7"/>
  <c r="H12" i="7"/>
  <c r="I12" i="7" s="1"/>
  <c r="N11" i="7"/>
  <c r="M11" i="7"/>
  <c r="L11" i="7"/>
  <c r="K11" i="7"/>
  <c r="J11" i="7"/>
  <c r="H11" i="7"/>
  <c r="I11" i="7" s="1"/>
  <c r="N10" i="7"/>
  <c r="M10" i="7"/>
  <c r="L10" i="7"/>
  <c r="K10" i="7"/>
  <c r="J10" i="7"/>
  <c r="H10" i="7"/>
  <c r="I10" i="7" s="1"/>
  <c r="N9" i="7"/>
  <c r="M9" i="7"/>
  <c r="L9" i="7"/>
  <c r="K9" i="7"/>
  <c r="U9" i="7" s="1"/>
  <c r="J9" i="7"/>
  <c r="H9" i="7"/>
  <c r="I9" i="7" s="1"/>
  <c r="N8" i="7"/>
  <c r="M8" i="7"/>
  <c r="L8" i="7"/>
  <c r="K8" i="7"/>
  <c r="J8" i="7"/>
  <c r="H8" i="7"/>
  <c r="I8" i="7" s="1"/>
  <c r="N7" i="7"/>
  <c r="M7" i="7"/>
  <c r="L7" i="7"/>
  <c r="K7" i="7"/>
  <c r="J7" i="7"/>
  <c r="H7" i="7"/>
  <c r="I7" i="7" s="1"/>
  <c r="N6" i="7"/>
  <c r="M6" i="7"/>
  <c r="L6" i="7"/>
  <c r="K6" i="7"/>
  <c r="J6" i="7"/>
  <c r="H6" i="7"/>
  <c r="I6" i="7" s="1"/>
  <c r="N5" i="7"/>
  <c r="M5" i="7"/>
  <c r="L5" i="7"/>
  <c r="K5" i="7"/>
  <c r="J5" i="7"/>
  <c r="H5" i="7"/>
  <c r="I5" i="7" s="1"/>
  <c r="N4" i="7"/>
  <c r="M4" i="7"/>
  <c r="L4" i="7"/>
  <c r="K4" i="7"/>
  <c r="J4" i="7"/>
  <c r="H4" i="7"/>
  <c r="I4" i="7" s="1"/>
  <c r="N3" i="7"/>
  <c r="M3" i="7"/>
  <c r="L3" i="7"/>
  <c r="K3" i="7"/>
  <c r="J3" i="7"/>
  <c r="H3" i="7"/>
  <c r="I3" i="7" s="1"/>
  <c r="N2" i="7"/>
  <c r="M2" i="7"/>
  <c r="L2" i="7"/>
  <c r="K2" i="7"/>
  <c r="J2" i="7"/>
  <c r="H2" i="7"/>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H2" i="4"/>
  <c r="I2" i="4" s="1"/>
  <c r="H3" i="4"/>
  <c r="I3" i="4" s="1"/>
  <c r="H4" i="4"/>
  <c r="I4" i="4" s="1"/>
  <c r="H5" i="4"/>
  <c r="I5" i="4" s="1"/>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H23" i="4"/>
  <c r="I23" i="4" s="1"/>
  <c r="H24" i="4"/>
  <c r="I24" i="4" s="1"/>
  <c r="H25" i="4"/>
  <c r="I25" i="4" s="1"/>
  <c r="H26" i="4"/>
  <c r="I26" i="4" s="1"/>
  <c r="H27" i="4"/>
  <c r="I27" i="4" s="1"/>
  <c r="H28" i="4"/>
  <c r="I28" i="4" s="1"/>
  <c r="H29" i="4"/>
  <c r="I29" i="4" s="1"/>
  <c r="H30" i="4"/>
  <c r="I30" i="4" s="1"/>
  <c r="H31" i="4"/>
  <c r="I31" i="4" s="1"/>
  <c r="H32" i="4"/>
  <c r="I32" i="4" s="1"/>
  <c r="H33" i="4"/>
  <c r="I33" i="4" s="1"/>
  <c r="H34" i="4"/>
  <c r="I34" i="4" s="1"/>
  <c r="H35" i="4"/>
  <c r="I35" i="4" s="1"/>
  <c r="H36" i="4"/>
  <c r="I36" i="4" s="1"/>
  <c r="H37" i="4"/>
  <c r="I37" i="4" s="1"/>
  <c r="H38" i="4"/>
  <c r="I38" i="4" s="1"/>
  <c r="H39" i="4"/>
  <c r="I39" i="4" s="1"/>
  <c r="H40" i="4"/>
  <c r="I40" i="4" s="1"/>
  <c r="H41" i="4"/>
  <c r="I41" i="4" s="1"/>
  <c r="H42" i="4"/>
  <c r="I42" i="4" s="1"/>
  <c r="H43" i="4"/>
  <c r="I43" i="4" s="1"/>
  <c r="H44" i="4"/>
  <c r="I44" i="4" s="1"/>
  <c r="H45" i="4"/>
  <c r="I45" i="4" s="1"/>
  <c r="H46" i="4"/>
  <c r="I46" i="4" s="1"/>
  <c r="H47" i="4"/>
  <c r="I47" i="4" s="1"/>
  <c r="H48" i="4"/>
  <c r="I48" i="4" s="1"/>
  <c r="H49" i="4"/>
  <c r="I49" i="4" s="1"/>
  <c r="H50" i="4"/>
  <c r="I50" i="4" s="1"/>
  <c r="H51" i="4"/>
  <c r="I51" i="4" s="1"/>
  <c r="H52" i="4"/>
  <c r="I52" i="4" s="1"/>
  <c r="H53" i="4"/>
  <c r="I53" i="4" s="1"/>
  <c r="H54" i="4"/>
  <c r="I54" i="4" s="1"/>
  <c r="H55" i="4"/>
  <c r="I55" i="4" s="1"/>
  <c r="H56" i="4"/>
  <c r="I56" i="4" s="1"/>
  <c r="H57" i="4"/>
  <c r="I57" i="4" s="1"/>
  <c r="H58" i="4"/>
  <c r="I58" i="4" s="1"/>
  <c r="H59" i="4"/>
  <c r="I59" i="4" s="1"/>
  <c r="H60" i="4"/>
  <c r="I60" i="4" s="1"/>
  <c r="H61" i="4"/>
  <c r="I61" i="4" s="1"/>
  <c r="H62" i="4"/>
  <c r="I62" i="4" s="1"/>
  <c r="H63" i="4"/>
  <c r="I63" i="4" s="1"/>
  <c r="H64" i="4"/>
  <c r="I64" i="4" s="1"/>
  <c r="H65" i="4"/>
  <c r="I65" i="4" s="1"/>
  <c r="H66" i="4"/>
  <c r="I66" i="4" s="1"/>
  <c r="H67" i="4"/>
  <c r="I67" i="4" s="1"/>
  <c r="H68" i="4"/>
  <c r="I68" i="4" s="1"/>
  <c r="H69" i="4"/>
  <c r="I69" i="4" s="1"/>
  <c r="H70" i="4"/>
  <c r="I70" i="4" s="1"/>
  <c r="H71" i="4"/>
  <c r="I71" i="4" s="1"/>
  <c r="H72" i="4"/>
  <c r="I72" i="4" s="1"/>
  <c r="H73" i="4"/>
  <c r="I73" i="4" s="1"/>
  <c r="H74" i="4"/>
  <c r="I74" i="4" s="1"/>
  <c r="H75" i="4"/>
  <c r="I75" i="4" s="1"/>
  <c r="H76" i="4"/>
  <c r="I76" i="4" s="1"/>
  <c r="H77" i="4"/>
  <c r="I77" i="4" s="1"/>
  <c r="H78" i="4"/>
  <c r="I78" i="4" s="1"/>
  <c r="H79" i="4"/>
  <c r="I79" i="4" s="1"/>
  <c r="H80" i="4"/>
  <c r="I80" i="4" s="1"/>
  <c r="H81" i="4"/>
  <c r="I81" i="4" s="1"/>
  <c r="H82" i="4"/>
  <c r="I82" i="4" s="1"/>
  <c r="H83" i="4"/>
  <c r="I83" i="4" s="1"/>
  <c r="H84" i="4"/>
  <c r="I84" i="4" s="1"/>
  <c r="H85" i="4"/>
  <c r="I85" i="4" s="1"/>
  <c r="H86" i="4"/>
  <c r="I86" i="4" s="1"/>
  <c r="H87" i="4"/>
  <c r="I87" i="4" s="1"/>
  <c r="H88" i="4"/>
  <c r="I88" i="4" s="1"/>
  <c r="H89" i="4"/>
  <c r="I89" i="4" s="1"/>
  <c r="H90" i="4"/>
  <c r="I90" i="4" s="1"/>
  <c r="H91" i="4"/>
  <c r="I91" i="4" s="1"/>
  <c r="H92" i="4"/>
  <c r="I92" i="4" s="1"/>
  <c r="H93" i="4"/>
  <c r="I93" i="4" s="1"/>
  <c r="H94" i="4"/>
  <c r="I94" i="4" s="1"/>
  <c r="H95" i="4"/>
  <c r="I95" i="4" s="1"/>
  <c r="H96" i="4"/>
  <c r="I96" i="4" s="1"/>
  <c r="H97" i="4"/>
  <c r="I97" i="4" s="1"/>
  <c r="H98" i="4"/>
  <c r="I98" i="4" s="1"/>
  <c r="H99" i="4"/>
  <c r="I99" i="4" s="1"/>
  <c r="H100" i="4"/>
  <c r="I100" i="4" s="1"/>
  <c r="H101" i="4"/>
  <c r="I101" i="4" s="1"/>
  <c r="H102" i="4"/>
  <c r="I102" i="4" s="1"/>
  <c r="H103" i="4"/>
  <c r="I103" i="4" s="1"/>
  <c r="H104" i="4"/>
  <c r="I104" i="4" s="1"/>
  <c r="H105" i="4"/>
  <c r="I105" i="4" s="1"/>
  <c r="H106" i="4"/>
  <c r="I106" i="4" s="1"/>
  <c r="H107" i="4"/>
  <c r="I107" i="4" s="1"/>
  <c r="H108" i="4"/>
  <c r="I108" i="4" s="1"/>
  <c r="H109" i="4"/>
  <c r="I109" i="4" s="1"/>
  <c r="H110" i="4"/>
  <c r="I110" i="4" s="1"/>
  <c r="H111" i="4"/>
  <c r="I111" i="4" s="1"/>
  <c r="H112" i="4"/>
  <c r="I112" i="4" s="1"/>
  <c r="H113" i="4"/>
  <c r="I113" i="4" s="1"/>
  <c r="H114" i="4"/>
  <c r="I114" i="4" s="1"/>
  <c r="H115" i="4"/>
  <c r="I115" i="4" s="1"/>
  <c r="H116" i="4"/>
  <c r="I116" i="4" s="1"/>
  <c r="H117" i="4"/>
  <c r="I117" i="4" s="1"/>
  <c r="H118" i="4"/>
  <c r="I118" i="4" s="1"/>
  <c r="H119" i="4"/>
  <c r="I119" i="4" s="1"/>
  <c r="H120" i="4"/>
  <c r="I120" i="4" s="1"/>
  <c r="H121" i="4"/>
  <c r="I121" i="4" s="1"/>
  <c r="T111" i="7" l="1"/>
  <c r="U99" i="7"/>
  <c r="R116" i="7"/>
  <c r="U97" i="7"/>
  <c r="R45" i="7"/>
  <c r="U91" i="7"/>
  <c r="U121" i="7"/>
  <c r="U75" i="7"/>
  <c r="T121" i="7"/>
  <c r="U69" i="7"/>
  <c r="T113" i="7"/>
  <c r="U53" i="7"/>
  <c r="U111" i="7"/>
  <c r="U45" i="7"/>
  <c r="U77" i="7"/>
  <c r="R109" i="7"/>
  <c r="R29" i="7"/>
  <c r="U49" i="7"/>
  <c r="R101" i="7"/>
  <c r="U71" i="7"/>
  <c r="R85" i="7"/>
  <c r="U109" i="7"/>
  <c r="U43" i="7"/>
  <c r="R77" i="7"/>
  <c r="U119" i="7"/>
  <c r="U107" i="7"/>
  <c r="U89" i="7"/>
  <c r="U65" i="7"/>
  <c r="U39" i="7"/>
  <c r="U95" i="7"/>
  <c r="R69" i="7"/>
  <c r="U117" i="7"/>
  <c r="T107" i="7"/>
  <c r="U87" i="7"/>
  <c r="U61" i="7"/>
  <c r="R61" i="7"/>
  <c r="T117" i="7"/>
  <c r="U105" i="7"/>
  <c r="U85" i="7"/>
  <c r="U59" i="7"/>
  <c r="U29" i="7"/>
  <c r="R117" i="7"/>
  <c r="R53" i="7"/>
  <c r="U113" i="7"/>
  <c r="U101" i="7"/>
  <c r="U81" i="7"/>
  <c r="U55" i="7"/>
  <c r="U27" i="7"/>
  <c r="V13" i="7"/>
  <c r="S13" i="7"/>
  <c r="T13" i="7"/>
  <c r="V23" i="7"/>
  <c r="R23" i="7"/>
  <c r="S23" i="7"/>
  <c r="T23" i="7"/>
  <c r="V7" i="7"/>
  <c r="R7" i="7"/>
  <c r="S7" i="7"/>
  <c r="T7" i="7"/>
  <c r="V17" i="7"/>
  <c r="R17" i="7"/>
  <c r="S17" i="7"/>
  <c r="T17" i="7"/>
  <c r="S42" i="7"/>
  <c r="T42" i="7"/>
  <c r="U42" i="7"/>
  <c r="V42" i="7"/>
  <c r="R42" i="7"/>
  <c r="U17" i="7"/>
  <c r="S28" i="7"/>
  <c r="T28" i="7"/>
  <c r="U28" i="7"/>
  <c r="V28" i="7"/>
  <c r="R28" i="7"/>
  <c r="R62" i="7"/>
  <c r="S62" i="7"/>
  <c r="T62" i="7"/>
  <c r="U62" i="7"/>
  <c r="V62" i="7"/>
  <c r="R110" i="7"/>
  <c r="S110" i="7"/>
  <c r="T110" i="7"/>
  <c r="U110" i="7"/>
  <c r="V110" i="7"/>
  <c r="S12" i="7"/>
  <c r="T12" i="7"/>
  <c r="U12" i="7"/>
  <c r="V12" i="7"/>
  <c r="R12" i="7"/>
  <c r="V51" i="7"/>
  <c r="S51" i="7"/>
  <c r="R51" i="7"/>
  <c r="T51" i="7"/>
  <c r="S56" i="7"/>
  <c r="T56" i="7"/>
  <c r="R56" i="7"/>
  <c r="U56" i="7"/>
  <c r="V56" i="7"/>
  <c r="V37" i="7"/>
  <c r="S37" i="7"/>
  <c r="T37" i="7"/>
  <c r="V11" i="7"/>
  <c r="S11" i="7"/>
  <c r="R11" i="7"/>
  <c r="T11" i="7"/>
  <c r="S16" i="7"/>
  <c r="T16" i="7"/>
  <c r="R16" i="7"/>
  <c r="U16" i="7"/>
  <c r="V16" i="7"/>
  <c r="V21" i="7"/>
  <c r="S21" i="7"/>
  <c r="T21" i="7"/>
  <c r="S26" i="7"/>
  <c r="T26" i="7"/>
  <c r="U26" i="7"/>
  <c r="V26" i="7"/>
  <c r="R26" i="7"/>
  <c r="V31" i="7"/>
  <c r="R31" i="7"/>
  <c r="S31" i="7"/>
  <c r="T31" i="7"/>
  <c r="S36" i="7"/>
  <c r="T36" i="7"/>
  <c r="U36" i="7"/>
  <c r="V36" i="7"/>
  <c r="R36" i="7"/>
  <c r="V41" i="7"/>
  <c r="R41" i="7"/>
  <c r="S41" i="7"/>
  <c r="T41" i="7"/>
  <c r="R46" i="7"/>
  <c r="S46" i="7"/>
  <c r="T46" i="7"/>
  <c r="U46" i="7"/>
  <c r="V46" i="7"/>
  <c r="S104" i="7"/>
  <c r="T104" i="7"/>
  <c r="R104" i="7"/>
  <c r="U104" i="7"/>
  <c r="V104" i="7"/>
  <c r="R37" i="7"/>
  <c r="U93" i="7"/>
  <c r="U13" i="7"/>
  <c r="V47" i="7"/>
  <c r="R47" i="7"/>
  <c r="S47" i="7"/>
  <c r="T47" i="7"/>
  <c r="S52" i="7"/>
  <c r="T52" i="7"/>
  <c r="U52" i="7"/>
  <c r="V52" i="7"/>
  <c r="R52" i="7"/>
  <c r="R6" i="7"/>
  <c r="S6" i="7"/>
  <c r="T6" i="7"/>
  <c r="U6" i="7"/>
  <c r="V6" i="7"/>
  <c r="V5" i="7"/>
  <c r="S5" i="7"/>
  <c r="T5" i="7"/>
  <c r="S10" i="7"/>
  <c r="T10" i="7"/>
  <c r="U10" i="7"/>
  <c r="V10" i="7"/>
  <c r="R10" i="7"/>
  <c r="V35" i="7"/>
  <c r="S35" i="7"/>
  <c r="R35" i="7"/>
  <c r="T35" i="7"/>
  <c r="S40" i="7"/>
  <c r="T40" i="7"/>
  <c r="R40" i="7"/>
  <c r="U40" i="7"/>
  <c r="V40" i="7"/>
  <c r="U11" i="7"/>
  <c r="V2" i="7"/>
  <c r="U2" i="7"/>
  <c r="T2" i="7"/>
  <c r="S2" i="7"/>
  <c r="R2" i="7"/>
  <c r="V57" i="7"/>
  <c r="R57" i="7"/>
  <c r="S57" i="7"/>
  <c r="T57" i="7"/>
  <c r="V15" i="7"/>
  <c r="R15" i="7"/>
  <c r="S15" i="7"/>
  <c r="T15" i="7"/>
  <c r="S20" i="7"/>
  <c r="T20" i="7"/>
  <c r="U20" i="7"/>
  <c r="V20" i="7"/>
  <c r="R20" i="7"/>
  <c r="V25" i="7"/>
  <c r="R25" i="7"/>
  <c r="S25" i="7"/>
  <c r="T25" i="7"/>
  <c r="R30" i="7"/>
  <c r="S30" i="7"/>
  <c r="T30" i="7"/>
  <c r="U30" i="7"/>
  <c r="V30" i="7"/>
  <c r="V79" i="7"/>
  <c r="R79" i="7"/>
  <c r="S79" i="7"/>
  <c r="T79" i="7"/>
  <c r="V93" i="7"/>
  <c r="S93" i="7"/>
  <c r="T93" i="7"/>
  <c r="S98" i="7"/>
  <c r="T98" i="7"/>
  <c r="U98" i="7"/>
  <c r="V98" i="7"/>
  <c r="R98" i="7"/>
  <c r="V103" i="7"/>
  <c r="R103" i="7"/>
  <c r="S103" i="7"/>
  <c r="T103" i="7"/>
  <c r="S108" i="7"/>
  <c r="T108" i="7"/>
  <c r="U108" i="7"/>
  <c r="V108" i="7"/>
  <c r="R108" i="7"/>
  <c r="R21" i="7"/>
  <c r="U57" i="7"/>
  <c r="U41" i="7"/>
  <c r="U25" i="7"/>
  <c r="I2" i="7"/>
  <c r="I123" i="7" s="1"/>
  <c r="H123" i="7"/>
  <c r="V19" i="7"/>
  <c r="S19" i="7"/>
  <c r="R19" i="7"/>
  <c r="T19" i="7"/>
  <c r="S24" i="7"/>
  <c r="T24" i="7"/>
  <c r="R24" i="7"/>
  <c r="U24" i="7"/>
  <c r="V24" i="7"/>
  <c r="V83" i="7"/>
  <c r="S83" i="7"/>
  <c r="R83" i="7"/>
  <c r="T83" i="7"/>
  <c r="S88" i="7"/>
  <c r="T88" i="7"/>
  <c r="R88" i="7"/>
  <c r="U88" i="7"/>
  <c r="V88" i="7"/>
  <c r="R13" i="7"/>
  <c r="U103" i="7"/>
  <c r="U23" i="7"/>
  <c r="U7" i="7"/>
  <c r="S4" i="7"/>
  <c r="T4" i="7"/>
  <c r="U4" i="7"/>
  <c r="V4" i="7"/>
  <c r="R4" i="7"/>
  <c r="V9" i="7"/>
  <c r="R9" i="7"/>
  <c r="S9" i="7"/>
  <c r="T9" i="7"/>
  <c r="V3" i="7"/>
  <c r="S3" i="7"/>
  <c r="R3" i="7"/>
  <c r="T3" i="7"/>
  <c r="S8" i="7"/>
  <c r="T8" i="7"/>
  <c r="R8" i="7"/>
  <c r="U8" i="7"/>
  <c r="V8" i="7"/>
  <c r="R14" i="7"/>
  <c r="S14" i="7"/>
  <c r="T14" i="7"/>
  <c r="U14" i="7"/>
  <c r="V14" i="7"/>
  <c r="V33" i="7"/>
  <c r="R33" i="7"/>
  <c r="S33" i="7"/>
  <c r="T33" i="7"/>
  <c r="V63" i="7"/>
  <c r="R63" i="7"/>
  <c r="S63" i="7"/>
  <c r="T63" i="7"/>
  <c r="S68" i="7"/>
  <c r="T68" i="7"/>
  <c r="U68" i="7"/>
  <c r="V68" i="7"/>
  <c r="R68" i="7"/>
  <c r="V73" i="7"/>
  <c r="R73" i="7"/>
  <c r="S73" i="7"/>
  <c r="T73" i="7"/>
  <c r="R78" i="7"/>
  <c r="S78" i="7"/>
  <c r="T78" i="7"/>
  <c r="U78" i="7"/>
  <c r="V78" i="7"/>
  <c r="V115" i="7"/>
  <c r="S115" i="7"/>
  <c r="R115" i="7"/>
  <c r="T115" i="7"/>
  <c r="R5" i="7"/>
  <c r="U37" i="7"/>
  <c r="U21" i="7"/>
  <c r="U5" i="7"/>
  <c r="V67" i="7"/>
  <c r="S67" i="7"/>
  <c r="R67" i="7"/>
  <c r="T67" i="7"/>
  <c r="S72" i="7"/>
  <c r="T72" i="7"/>
  <c r="R72" i="7"/>
  <c r="U72" i="7"/>
  <c r="V72" i="7"/>
  <c r="U83" i="7"/>
  <c r="U67" i="7"/>
  <c r="U51" i="7"/>
  <c r="U35" i="7"/>
  <c r="U19" i="7"/>
  <c r="U3" i="7"/>
  <c r="R100" i="7"/>
  <c r="R92" i="7"/>
  <c r="R84" i="7"/>
  <c r="R76" i="7"/>
  <c r="R60" i="7"/>
  <c r="R44" i="7"/>
  <c r="T119" i="7"/>
  <c r="T109" i="7"/>
  <c r="T105" i="7"/>
  <c r="T101" i="7"/>
  <c r="T99" i="7"/>
  <c r="T97" i="7"/>
  <c r="T95" i="7"/>
  <c r="T91" i="7"/>
  <c r="T89" i="7"/>
  <c r="T87" i="7"/>
  <c r="T85" i="7"/>
  <c r="T81" i="7"/>
  <c r="T77" i="7"/>
  <c r="T75" i="7"/>
  <c r="T71" i="7"/>
  <c r="T69" i="7"/>
  <c r="T65" i="7"/>
  <c r="T61" i="7"/>
  <c r="T59" i="7"/>
  <c r="T55" i="7"/>
  <c r="T53" i="7"/>
  <c r="T49" i="7"/>
  <c r="T45" i="7"/>
  <c r="T43" i="7"/>
  <c r="T39" i="7"/>
  <c r="T29" i="7"/>
  <c r="T27" i="7"/>
  <c r="R107" i="7"/>
  <c r="R99" i="7"/>
  <c r="R91" i="7"/>
  <c r="R75" i="7"/>
  <c r="R59" i="7"/>
  <c r="R43" i="7"/>
  <c r="R27" i="7"/>
  <c r="S121" i="7"/>
  <c r="S119" i="7"/>
  <c r="S117" i="7"/>
  <c r="S113" i="7"/>
  <c r="S111" i="7"/>
  <c r="S109" i="7"/>
  <c r="S107" i="7"/>
  <c r="S105" i="7"/>
  <c r="S101" i="7"/>
  <c r="S99" i="7"/>
  <c r="S97" i="7"/>
  <c r="S95" i="7"/>
  <c r="S91" i="7"/>
  <c r="S89" i="7"/>
  <c r="S87" i="7"/>
  <c r="S85" i="7"/>
  <c r="S81" i="7"/>
  <c r="S77" i="7"/>
  <c r="S75" i="7"/>
  <c r="S71" i="7"/>
  <c r="S69" i="7"/>
  <c r="S65" i="7"/>
  <c r="S61" i="7"/>
  <c r="S59" i="7"/>
  <c r="S55" i="7"/>
  <c r="S53" i="7"/>
  <c r="S49" i="7"/>
  <c r="S45" i="7"/>
  <c r="S43" i="7"/>
  <c r="S39" i="7"/>
  <c r="S29" i="7"/>
  <c r="S27" i="7"/>
  <c r="R114" i="7"/>
  <c r="R106" i="7"/>
  <c r="R90" i="7"/>
  <c r="R82" i="7"/>
  <c r="R74" i="7"/>
  <c r="R66" i="7"/>
  <c r="R58" i="7"/>
  <c r="R50" i="7"/>
  <c r="R34" i="7"/>
  <c r="R18" i="7"/>
  <c r="V120" i="7"/>
  <c r="V118" i="7"/>
  <c r="V116" i="7"/>
  <c r="V114" i="7"/>
  <c r="V112" i="7"/>
  <c r="V106" i="7"/>
  <c r="V102" i="7"/>
  <c r="V100" i="7"/>
  <c r="V96" i="7"/>
  <c r="V94" i="7"/>
  <c r="V92" i="7"/>
  <c r="V90" i="7"/>
  <c r="V86" i="7"/>
  <c r="V84" i="7"/>
  <c r="V82" i="7"/>
  <c r="V80" i="7"/>
  <c r="V76" i="7"/>
  <c r="V74" i="7"/>
  <c r="V70" i="7"/>
  <c r="V66" i="7"/>
  <c r="V64" i="7"/>
  <c r="V60" i="7"/>
  <c r="V58" i="7"/>
  <c r="V54" i="7"/>
  <c r="V50" i="7"/>
  <c r="V48" i="7"/>
  <c r="V44" i="7"/>
  <c r="V38" i="7"/>
  <c r="V34" i="7"/>
  <c r="V32" i="7"/>
  <c r="V22" i="7"/>
  <c r="V18" i="7"/>
  <c r="R121" i="7"/>
  <c r="R113" i="7"/>
  <c r="R105" i="7"/>
  <c r="R97" i="7"/>
  <c r="R89" i="7"/>
  <c r="R81" i="7"/>
  <c r="R65" i="7"/>
  <c r="R49" i="7"/>
  <c r="U120" i="7"/>
  <c r="U118" i="7"/>
  <c r="U116" i="7"/>
  <c r="U114" i="7"/>
  <c r="U112" i="7"/>
  <c r="U106" i="7"/>
  <c r="U102" i="7"/>
  <c r="U100" i="7"/>
  <c r="U96" i="7"/>
  <c r="U94" i="7"/>
  <c r="U92" i="7"/>
  <c r="U90" i="7"/>
  <c r="U86" i="7"/>
  <c r="U84" i="7"/>
  <c r="U82" i="7"/>
  <c r="U80" i="7"/>
  <c r="U76" i="7"/>
  <c r="U74" i="7"/>
  <c r="U70" i="7"/>
  <c r="U66" i="7"/>
  <c r="U64" i="7"/>
  <c r="U60" i="7"/>
  <c r="U58" i="7"/>
  <c r="U54" i="7"/>
  <c r="U50" i="7"/>
  <c r="U48" i="7"/>
  <c r="U44" i="7"/>
  <c r="U38" i="7"/>
  <c r="U34" i="7"/>
  <c r="U32" i="7"/>
  <c r="U22" i="7"/>
  <c r="U18" i="7"/>
  <c r="R120" i="7"/>
  <c r="R112" i="7"/>
  <c r="R96" i="7"/>
  <c r="R80" i="7"/>
  <c r="R64" i="7"/>
  <c r="R48" i="7"/>
  <c r="R32" i="7"/>
  <c r="T120" i="7"/>
  <c r="T118" i="7"/>
  <c r="T116" i="7"/>
  <c r="T114" i="7"/>
  <c r="T112" i="7"/>
  <c r="T106" i="7"/>
  <c r="T102" i="7"/>
  <c r="T100" i="7"/>
  <c r="T96" i="7"/>
  <c r="T94" i="7"/>
  <c r="T92" i="7"/>
  <c r="T90" i="7"/>
  <c r="T86" i="7"/>
  <c r="T84" i="7"/>
  <c r="T82" i="7"/>
  <c r="T80" i="7"/>
  <c r="T76" i="7"/>
  <c r="T74" i="7"/>
  <c r="T70" i="7"/>
  <c r="T66" i="7"/>
  <c r="T64" i="7"/>
  <c r="T60" i="7"/>
  <c r="T58" i="7"/>
  <c r="T54" i="7"/>
  <c r="T50" i="7"/>
  <c r="T48" i="7"/>
  <c r="T44" i="7"/>
  <c r="T38" i="7"/>
  <c r="T34" i="7"/>
  <c r="T32" i="7"/>
  <c r="T22" i="7"/>
  <c r="T18" i="7"/>
  <c r="R119" i="7"/>
  <c r="R111" i="7"/>
  <c r="R95" i="7"/>
  <c r="R87" i="7"/>
  <c r="R71" i="7"/>
  <c r="R55" i="7"/>
  <c r="R39" i="7"/>
  <c r="S118" i="7"/>
  <c r="S102" i="7"/>
  <c r="S94" i="7"/>
  <c r="S86" i="7"/>
  <c r="S70" i="7"/>
  <c r="S54" i="7"/>
  <c r="S38" i="7"/>
  <c r="S22" i="7"/>
  <c r="R122" i="7" l="1"/>
  <c r="T122" i="7"/>
  <c r="S122" i="7"/>
  <c r="U122" i="7"/>
  <c r="V12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DEE754-9BBD-45A2-9FDF-96C7646BBDA0}" name="Smite data" type="6" refreshedVersion="7" background="1" saveData="1">
    <textPr codePage="437" sourceFile="C:\Users\zdavl\Documents\Smite data.txt">
      <textFields>
        <textField/>
      </textFields>
    </textPr>
  </connection>
</connections>
</file>

<file path=xl/sharedStrings.xml><?xml version="1.0" encoding="utf-8"?>
<sst xmlns="http://schemas.openxmlformats.org/spreadsheetml/2006/main" count="1764" uniqueCount="435">
  <si>
    <t>GOD</t>
  </si>
  <si>
    <t>WIN RATE</t>
  </si>
  <si>
    <t>MATCHES</t>
  </si>
  <si>
    <t>KDA</t>
  </si>
  <si>
    <t>DAMAGE</t>
  </si>
  <si>
    <t>HEALING</t>
  </si>
  <si>
    <t>MITIGATED</t>
  </si>
  <si>
    <t>arachne</t>
  </si>
  <si>
    <t>ARACHNE</t>
  </si>
  <si>
    <t>nu wa</t>
  </si>
  <si>
    <t>NU WA</t>
  </si>
  <si>
    <t>xbalanque</t>
  </si>
  <si>
    <t>XBALANQUE</t>
  </si>
  <si>
    <t>eset</t>
  </si>
  <si>
    <t>ESET</t>
  </si>
  <si>
    <t>bellona</t>
  </si>
  <si>
    <t>BELLONA</t>
  </si>
  <si>
    <t>bakasura</t>
  </si>
  <si>
    <t>BAKASURA</t>
  </si>
  <si>
    <t>khepri</t>
  </si>
  <si>
    <t>KHEPRI</t>
  </si>
  <si>
    <t>artemis</t>
  </si>
  <si>
    <t>ARTEMIS</t>
  </si>
  <si>
    <t>cliodhna</t>
  </si>
  <si>
    <t>CLIODHNA</t>
  </si>
  <si>
    <t>hades</t>
  </si>
  <si>
    <t>HADES</t>
  </si>
  <si>
    <t>vamana</t>
  </si>
  <si>
    <t>VAMANA</t>
  </si>
  <si>
    <t>discordia</t>
  </si>
  <si>
    <t>DISCORDIA</t>
  </si>
  <si>
    <t>baron samedi</t>
  </si>
  <si>
    <t>BARON SAMEDI</t>
  </si>
  <si>
    <t>kali</t>
  </si>
  <si>
    <t>KALI</t>
  </si>
  <si>
    <t>shiva</t>
  </si>
  <si>
    <t>SHIVA</t>
  </si>
  <si>
    <t>poseidon</t>
  </si>
  <si>
    <t>POSEIDON</t>
  </si>
  <si>
    <t>amaterasu</t>
  </si>
  <si>
    <t>AMATERASU</t>
  </si>
  <si>
    <t>mercury</t>
  </si>
  <si>
    <t>MERCURY</t>
  </si>
  <si>
    <t>zeus</t>
  </si>
  <si>
    <t>ZEUS</t>
  </si>
  <si>
    <t>chernobog</t>
  </si>
  <si>
    <t>CHERNOBOG</t>
  </si>
  <si>
    <t>chiron</t>
  </si>
  <si>
    <t>CHIRON</t>
  </si>
  <si>
    <t>agni</t>
  </si>
  <si>
    <t>AGNI</t>
  </si>
  <si>
    <t>cernunnos</t>
  </si>
  <si>
    <t>CERNUNNOS</t>
  </si>
  <si>
    <t>hera</t>
  </si>
  <si>
    <t>HERA</t>
  </si>
  <si>
    <t>xing tian</t>
  </si>
  <si>
    <t>XING TIAN</t>
  </si>
  <si>
    <t>skadi</t>
  </si>
  <si>
    <t>SKADI</t>
  </si>
  <si>
    <t>anubis</t>
  </si>
  <si>
    <t>ANUBIS</t>
  </si>
  <si>
    <t>ah puch</t>
  </si>
  <si>
    <t>AH PUCH</t>
  </si>
  <si>
    <t>bastet</t>
  </si>
  <si>
    <t>BASTET</t>
  </si>
  <si>
    <t>chang'e</t>
  </si>
  <si>
    <t>CHANG'E</t>
  </si>
  <si>
    <t>kukulkan</t>
  </si>
  <si>
    <t>KUKULKAN</t>
  </si>
  <si>
    <t>baba yaga</t>
  </si>
  <si>
    <t>BABA YAGA</t>
  </si>
  <si>
    <t>geb</t>
  </si>
  <si>
    <t>GEB</t>
  </si>
  <si>
    <t>jing wei</t>
  </si>
  <si>
    <t>JING WEI</t>
  </si>
  <si>
    <t>chronos</t>
  </si>
  <si>
    <t>CHRONOS</t>
  </si>
  <si>
    <t>cupid</t>
  </si>
  <si>
    <t>CUPID</t>
  </si>
  <si>
    <t>ares</t>
  </si>
  <si>
    <t>ARES</t>
  </si>
  <si>
    <t>horus</t>
  </si>
  <si>
    <t>HORUS</t>
  </si>
  <si>
    <t>vulcan</t>
  </si>
  <si>
    <t>VULCAN</t>
  </si>
  <si>
    <t>erlang shen</t>
  </si>
  <si>
    <t>ERLANG SHEN</t>
  </si>
  <si>
    <t>izanami</t>
  </si>
  <si>
    <t>IZANAMI</t>
  </si>
  <si>
    <t>mulan</t>
  </si>
  <si>
    <t>MULAN</t>
  </si>
  <si>
    <t>guan yu</t>
  </si>
  <si>
    <t>GUAN YU</t>
  </si>
  <si>
    <t>scylla</t>
  </si>
  <si>
    <t>SCYLLA</t>
  </si>
  <si>
    <t>atlas</t>
  </si>
  <si>
    <t>ATLAS</t>
  </si>
  <si>
    <t>jormungandr</t>
  </si>
  <si>
    <t>JORMUNGANDR</t>
  </si>
  <si>
    <t>ah muzen cab</t>
  </si>
  <si>
    <t>AH MUZEN CAB</t>
  </si>
  <si>
    <t>apollo</t>
  </si>
  <si>
    <t>APOLLO</t>
  </si>
  <si>
    <t>medusa</t>
  </si>
  <si>
    <t>MEDUSA</t>
  </si>
  <si>
    <t>morgan le fay</t>
  </si>
  <si>
    <t>MORGAN LE FAY</t>
  </si>
  <si>
    <t>TERRA</t>
  </si>
  <si>
    <t>sun wukong</t>
  </si>
  <si>
    <t>SUN WUKONG</t>
  </si>
  <si>
    <t>bacchus</t>
  </si>
  <si>
    <t>BACCHUS</t>
  </si>
  <si>
    <t>ymir</t>
  </si>
  <si>
    <t>YMIR</t>
  </si>
  <si>
    <t>danzaburou</t>
  </si>
  <si>
    <t>DANZABUROU</t>
  </si>
  <si>
    <t>tsukuyomi</t>
  </si>
  <si>
    <t>TSUKUYOMI</t>
  </si>
  <si>
    <t>ra</t>
  </si>
  <si>
    <t>RA</t>
  </si>
  <si>
    <t>freya</t>
  </si>
  <si>
    <t>FREYA</t>
  </si>
  <si>
    <t>pele</t>
  </si>
  <si>
    <t>PELE</t>
  </si>
  <si>
    <t>rama</t>
  </si>
  <si>
    <t>RAMA</t>
  </si>
  <si>
    <t>PERSEPHONE</t>
  </si>
  <si>
    <t>odin</t>
  </si>
  <si>
    <t>ODIN</t>
  </si>
  <si>
    <t>chaac</t>
  </si>
  <si>
    <t>CHAAC</t>
  </si>
  <si>
    <t>olorun</t>
  </si>
  <si>
    <t>OLORUN</t>
  </si>
  <si>
    <t>ganesha</t>
  </si>
  <si>
    <t>GANESHA</t>
  </si>
  <si>
    <t>loki</t>
  </si>
  <si>
    <t>LOKI</t>
  </si>
  <si>
    <t>sylvanus</t>
  </si>
  <si>
    <t>SYLVANUS</t>
  </si>
  <si>
    <t>zhong kui</t>
  </si>
  <si>
    <t>ZHONG KUI</t>
  </si>
  <si>
    <t>cabrakan</t>
  </si>
  <si>
    <t>CABRAKAN</t>
  </si>
  <si>
    <t>cthulhu</t>
  </si>
  <si>
    <t>CTHULHU</t>
  </si>
  <si>
    <t>MERLIN</t>
  </si>
  <si>
    <t>nike</t>
  </si>
  <si>
    <t>NIKE</t>
  </si>
  <si>
    <t>aphrodite</t>
  </si>
  <si>
    <t>APHRODITE</t>
  </si>
  <si>
    <t>kumbhakarna</t>
  </si>
  <si>
    <t>KUMBHAKARNA</t>
  </si>
  <si>
    <t>artio</t>
  </si>
  <si>
    <t>ARTIO</t>
  </si>
  <si>
    <t>osiris</t>
  </si>
  <si>
    <t>OSIRIS</t>
  </si>
  <si>
    <t>neith</t>
  </si>
  <si>
    <t>NEITH</t>
  </si>
  <si>
    <t>athena</t>
  </si>
  <si>
    <t>ATHENA</t>
  </si>
  <si>
    <t>nemesis</t>
  </si>
  <si>
    <t>NEMESIS</t>
  </si>
  <si>
    <t>fafnir</t>
  </si>
  <si>
    <t>FAFNIR</t>
  </si>
  <si>
    <t>gilgamesh</t>
  </si>
  <si>
    <t>GILGAMESH</t>
  </si>
  <si>
    <t>ao kuang</t>
  </si>
  <si>
    <t>AO KUANG</t>
  </si>
  <si>
    <t>sol</t>
  </si>
  <si>
    <t>SOL</t>
  </si>
  <si>
    <t>awilix</t>
  </si>
  <si>
    <t>AWILIX</t>
  </si>
  <si>
    <t>hou yi</t>
  </si>
  <si>
    <t>HOU YI</t>
  </si>
  <si>
    <t>thanatos</t>
  </si>
  <si>
    <t>THANATOS</t>
  </si>
  <si>
    <t>nox</t>
  </si>
  <si>
    <t>NOX</t>
  </si>
  <si>
    <t>da ji</t>
  </si>
  <si>
    <t>DA JI</t>
  </si>
  <si>
    <t>raijin</t>
  </si>
  <si>
    <t>RAIJIN</t>
  </si>
  <si>
    <t>he bo</t>
  </si>
  <si>
    <t>HE BO</t>
  </si>
  <si>
    <t>susano</t>
  </si>
  <si>
    <t>SUSANO</t>
  </si>
  <si>
    <t>hun batz</t>
  </si>
  <si>
    <t>HUN BATZ</t>
  </si>
  <si>
    <t>kuzenbo</t>
  </si>
  <si>
    <t>KUZENBO</t>
  </si>
  <si>
    <t>ravana</t>
  </si>
  <si>
    <t>RAVANA</t>
  </si>
  <si>
    <t>the morrigan</t>
  </si>
  <si>
    <t>THE MORRIGAN</t>
  </si>
  <si>
    <t>tiamat</t>
  </si>
  <si>
    <t>TIAMAT</t>
  </si>
  <si>
    <t>fenrir</t>
  </si>
  <si>
    <t>FENRIR</t>
  </si>
  <si>
    <t>charybdis</t>
  </si>
  <si>
    <t>CHARYBDIS</t>
  </si>
  <si>
    <t>sobek</t>
  </si>
  <si>
    <t>SOBEK</t>
  </si>
  <si>
    <t>hachiman</t>
  </si>
  <si>
    <t>HACHIMAN</t>
  </si>
  <si>
    <t>heimdallr</t>
  </si>
  <si>
    <t>HEIMDALLR</t>
  </si>
  <si>
    <t>cerberus</t>
  </si>
  <si>
    <t>CERBERUS</t>
  </si>
  <si>
    <t>camazotz</t>
  </si>
  <si>
    <t>CAMAZOTZ</t>
  </si>
  <si>
    <t>cu chulainn</t>
  </si>
  <si>
    <t>CU CHULAINN</t>
  </si>
  <si>
    <t>yemoja</t>
  </si>
  <si>
    <t>YEMOJA</t>
  </si>
  <si>
    <t>ratatoskr</t>
  </si>
  <si>
    <t>RATATOSKR</t>
  </si>
  <si>
    <t>ullr</t>
  </si>
  <si>
    <t>ULLR</t>
  </si>
  <si>
    <t>set</t>
  </si>
  <si>
    <t>SET</t>
  </si>
  <si>
    <t>achilles</t>
  </si>
  <si>
    <t>ACHILLES</t>
  </si>
  <si>
    <t>tyr</t>
  </si>
  <si>
    <t>TYR</t>
  </si>
  <si>
    <t>ne zha</t>
  </si>
  <si>
    <t>NE ZHA</t>
  </si>
  <si>
    <t>anhur</t>
  </si>
  <si>
    <t>ANHUR</t>
  </si>
  <si>
    <t>king arthur</t>
  </si>
  <si>
    <t>KING ARTHUR</t>
  </si>
  <si>
    <t>janus</t>
  </si>
  <si>
    <t>JANUS</t>
  </si>
  <si>
    <t>thor</t>
  </si>
  <si>
    <t>THOR</t>
  </si>
  <si>
    <t>hel</t>
  </si>
  <si>
    <t>HEL</t>
  </si>
  <si>
    <t>yu huang</t>
  </si>
  <si>
    <t>YU HUANG</t>
  </si>
  <si>
    <t>hercules</t>
  </si>
  <si>
    <t>HERCULES</t>
  </si>
  <si>
    <t>thoth</t>
  </si>
  <si>
    <t>THOTH</t>
  </si>
  <si>
    <t>serqet</t>
  </si>
  <si>
    <t>SERQET</t>
  </si>
  <si>
    <t>god</t>
  </si>
  <si>
    <t>terra</t>
  </si>
  <si>
    <t>persephone</t>
  </si>
  <si>
    <t>merlin</t>
  </si>
  <si>
    <t>Number of wins</t>
  </si>
  <si>
    <t>Number of Losses</t>
  </si>
  <si>
    <t>God</t>
  </si>
  <si>
    <t>Pantheon</t>
  </si>
  <si>
    <t>Attack Type</t>
  </si>
  <si>
    <t>Power Type</t>
  </si>
  <si>
    <t>Class</t>
  </si>
  <si>
    <t>Difficulty</t>
  </si>
  <si>
    <t>Favor Cost</t>
  </si>
  <si>
    <t>Gems Cost</t>
  </si>
  <si>
    <t>Release Date</t>
  </si>
  <si>
    <t>Achilles</t>
  </si>
  <si>
    <t>Average</t>
  </si>
  <si>
    <t>5500 Favor.png</t>
  </si>
  <si>
    <t>200 Gems.png</t>
  </si>
  <si>
    <t>Agni</t>
  </si>
  <si>
    <t>Hard</t>
  </si>
  <si>
    <t>1250 Favor.png</t>
  </si>
  <si>
    <t>Ah Muzen Cab</t>
  </si>
  <si>
    <t>Ah Puch</t>
  </si>
  <si>
    <t>Amaterasu</t>
  </si>
  <si>
    <t>Anhur</t>
  </si>
  <si>
    <t>Anubis</t>
  </si>
  <si>
    <t>Easy</t>
  </si>
  <si>
    <t>Ao Kuang</t>
  </si>
  <si>
    <t>Aphrodite</t>
  </si>
  <si>
    <t>Apollo</t>
  </si>
  <si>
    <t>Arachne</t>
  </si>
  <si>
    <t>Ares</t>
  </si>
  <si>
    <t>Free</t>
  </si>
  <si>
    <t>Artemis</t>
  </si>
  <si>
    <t>Artio</t>
  </si>
  <si>
    <t>Athena</t>
  </si>
  <si>
    <t>Atlas</t>
  </si>
  <si>
    <t>Awilix</t>
  </si>
  <si>
    <t>Baba Yaga</t>
  </si>
  <si>
    <t>Bacchus</t>
  </si>
  <si>
    <t>Bakasura</t>
  </si>
  <si>
    <t>Baron Samedi</t>
  </si>
  <si>
    <t>Bastet</t>
  </si>
  <si>
    <t>Bellona</t>
  </si>
  <si>
    <t>Cabrakan</t>
  </si>
  <si>
    <t>Camazotz</t>
  </si>
  <si>
    <t>Cerberus</t>
  </si>
  <si>
    <t>Cernunnos</t>
  </si>
  <si>
    <t>Chaac</t>
  </si>
  <si>
    <t>Chang'e</t>
  </si>
  <si>
    <t>Charybdis</t>
  </si>
  <si>
    <t>Chernobog</t>
  </si>
  <si>
    <t>Chiron</t>
  </si>
  <si>
    <t>Chronos</t>
  </si>
  <si>
    <t>Cliodhna</t>
  </si>
  <si>
    <t>Cthulhu</t>
  </si>
  <si>
    <t>Cu Chulainn</t>
  </si>
  <si>
    <t>Cupid</t>
  </si>
  <si>
    <t>1500 Favor.png</t>
  </si>
  <si>
    <t>Da Ji</t>
  </si>
  <si>
    <t>Danzaburou</t>
  </si>
  <si>
    <t>Discordia</t>
  </si>
  <si>
    <t>Erlang Shen</t>
  </si>
  <si>
    <t>Eset</t>
  </si>
  <si>
    <t>Fafnir</t>
  </si>
  <si>
    <t>Fenrir</t>
  </si>
  <si>
    <t>Freya</t>
  </si>
  <si>
    <t>Ganesha</t>
  </si>
  <si>
    <t>Geb</t>
  </si>
  <si>
    <t>Gilgamesh</t>
  </si>
  <si>
    <t>Guan Yu</t>
  </si>
  <si>
    <t>Hachiman</t>
  </si>
  <si>
    <t>Hades</t>
  </si>
  <si>
    <t>2000 Favor.png</t>
  </si>
  <si>
    <t>He Bo</t>
  </si>
  <si>
    <t>Heimdallr</t>
  </si>
  <si>
    <t>Hel</t>
  </si>
  <si>
    <t>Hera</t>
  </si>
  <si>
    <t>Hercules</t>
  </si>
  <si>
    <t>Horus</t>
  </si>
  <si>
    <t>Hou Yi</t>
  </si>
  <si>
    <t>Hun Batz</t>
  </si>
  <si>
    <t>Izanami</t>
  </si>
  <si>
    <t>Janus</t>
  </si>
  <si>
    <t>Jing Wei</t>
  </si>
  <si>
    <t>Jormungandr</t>
  </si>
  <si>
    <t>Kali</t>
  </si>
  <si>
    <t>Khepri</t>
  </si>
  <si>
    <t>King Arthur</t>
  </si>
  <si>
    <t>Kukulkan</t>
  </si>
  <si>
    <t>Kumbhakarna</t>
  </si>
  <si>
    <t>Kuzenbo</t>
  </si>
  <si>
    <t>Loki</t>
  </si>
  <si>
    <t>Medusa</t>
  </si>
  <si>
    <t>Mercury</t>
  </si>
  <si>
    <t>Merlin</t>
  </si>
  <si>
    <t>Morgan Le Fay</t>
  </si>
  <si>
    <t>Mulan</t>
  </si>
  <si>
    <t>Ne Zha</t>
  </si>
  <si>
    <t>Neith</t>
  </si>
  <si>
    <t>Nemesis</t>
  </si>
  <si>
    <t>Nike</t>
  </si>
  <si>
    <t>Nox</t>
  </si>
  <si>
    <t>Nu Wa</t>
  </si>
  <si>
    <t>Odin</t>
  </si>
  <si>
    <t>Olorun</t>
  </si>
  <si>
    <t>Osiris</t>
  </si>
  <si>
    <t>Pele</t>
  </si>
  <si>
    <t>Persephone</t>
  </si>
  <si>
    <t>Poseidon</t>
  </si>
  <si>
    <t>Ra</t>
  </si>
  <si>
    <t>Raijin</t>
  </si>
  <si>
    <t>Rama</t>
  </si>
  <si>
    <t>Ratatoskr</t>
  </si>
  <si>
    <t>Ravana</t>
  </si>
  <si>
    <t>Scylla</t>
  </si>
  <si>
    <t>Serqet</t>
  </si>
  <si>
    <t>Set</t>
  </si>
  <si>
    <t>Shiva</t>
  </si>
  <si>
    <t>Skadi</t>
  </si>
  <si>
    <t>Sobek</t>
  </si>
  <si>
    <t>Sol</t>
  </si>
  <si>
    <t>Sun Wukong</t>
  </si>
  <si>
    <t>Susano</t>
  </si>
  <si>
    <t>Sylvanus</t>
  </si>
  <si>
    <t>Terra</t>
  </si>
  <si>
    <t>Thanatos</t>
  </si>
  <si>
    <t>The Morrigan</t>
  </si>
  <si>
    <t>Very Hard</t>
  </si>
  <si>
    <t>Thor</t>
  </si>
  <si>
    <t>Thoth</t>
  </si>
  <si>
    <t>Tiamat</t>
  </si>
  <si>
    <t>Tsukuyomi</t>
  </si>
  <si>
    <t>Tyr</t>
  </si>
  <si>
    <t>Ullr</t>
  </si>
  <si>
    <t>Vamana</t>
  </si>
  <si>
    <t>Vulcan</t>
  </si>
  <si>
    <t>Xbalanque</t>
  </si>
  <si>
    <t>Xing Tian</t>
  </si>
  <si>
    <t>Yemoja</t>
  </si>
  <si>
    <t>Ymir</t>
  </si>
  <si>
    <t>Yu Huang</t>
  </si>
  <si>
    <t>11000 Favor.png</t>
  </si>
  <si>
    <t>Zeus</t>
  </si>
  <si>
    <t>Zhong Kui</t>
  </si>
  <si>
    <t>Melee</t>
  </si>
  <si>
    <t>Ranged</t>
  </si>
  <si>
    <t>Greek</t>
  </si>
  <si>
    <t>Hindu</t>
  </si>
  <si>
    <t>Maya</t>
  </si>
  <si>
    <t>Japanese</t>
  </si>
  <si>
    <t>Egyptian</t>
  </si>
  <si>
    <t>Chinese</t>
  </si>
  <si>
    <t>Celtic</t>
  </si>
  <si>
    <t>Slavic</t>
  </si>
  <si>
    <t>Roman</t>
  </si>
  <si>
    <t>Voodoo</t>
  </si>
  <si>
    <t>Great Old Ones</t>
  </si>
  <si>
    <t>Norse</t>
  </si>
  <si>
    <t>Babylonian</t>
  </si>
  <si>
    <t>Arthurian</t>
  </si>
  <si>
    <t>Yoruba</t>
  </si>
  <si>
    <t>Polynesian</t>
  </si>
  <si>
    <t>Physical</t>
  </si>
  <si>
    <t>Magical</t>
  </si>
  <si>
    <t>Warrior</t>
  </si>
  <si>
    <t>Mage</t>
  </si>
  <si>
    <t>Hunter</t>
  </si>
  <si>
    <t>Assassin</t>
  </si>
  <si>
    <t>Guardian</t>
  </si>
  <si>
    <t>Use God in Match</t>
  </si>
  <si>
    <t>SumProduct</t>
  </si>
  <si>
    <t>Total Number of gods</t>
  </si>
  <si>
    <t>Odds of winning</t>
  </si>
  <si>
    <t>Date of Release</t>
  </si>
  <si>
    <t>Row Labels</t>
  </si>
  <si>
    <t>Grand Total</t>
  </si>
  <si>
    <t>Column Labels</t>
  </si>
  <si>
    <t>Average of WIN RATE</t>
  </si>
  <si>
    <t>2012</t>
  </si>
  <si>
    <t>2013</t>
  </si>
  <si>
    <t>2014</t>
  </si>
  <si>
    <t>2015</t>
  </si>
  <si>
    <t>2016</t>
  </si>
  <si>
    <t>2017</t>
  </si>
  <si>
    <t>2018</t>
  </si>
  <si>
    <t>2019</t>
  </si>
  <si>
    <t>2020</t>
  </si>
  <si>
    <t>2021</t>
  </si>
  <si>
    <t>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</si>
</sst>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2"/>
      <color rgb="FF0A0101"/>
      <name val="Arial"/>
      <family val="2"/>
    </font>
  </fonts>
  <fills count="2">
    <fill>
      <patternFill patternType="none"/>
    </fill>
    <fill>
      <patternFill patternType="gray125"/>
    </fill>
  </fills>
  <borders count="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16">
    <xf numFmtId="0" fontId="0" fillId="0" borderId="0" xfId="0"/>
    <xf numFmtId="10" fontId="0" fillId="0" borderId="0" xfId="0" applyNumberFormat="1"/>
    <xf numFmtId="9" fontId="0" fillId="0" borderId="0" xfId="0" applyNumberFormat="1"/>
    <xf numFmtId="0" fontId="1" fillId="0" borderId="0" xfId="0" applyFont="1"/>
    <xf numFmtId="0" fontId="0" fillId="0" borderId="0" xfId="0" applyAlignment="1">
      <alignment horizontal="left" vertical="center"/>
    </xf>
    <xf numFmtId="1" fontId="0" fillId="0" borderId="0" xfId="0" applyNumberFormat="1" applyAlignment="1">
      <alignment horizontal="left" vertical="center"/>
    </xf>
    <xf numFmtId="1" fontId="0" fillId="0" borderId="0" xfId="0" applyNumberFormat="1"/>
    <xf numFmtId="14" fontId="0" fillId="0" borderId="0" xfId="0" applyNumberFormat="1"/>
    <xf numFmtId="0" fontId="0" fillId="0" borderId="2" xfId="0" applyBorder="1"/>
    <xf numFmtId="0" fontId="0" fillId="0" borderId="0" xfId="0" applyBorder="1"/>
    <xf numFmtId="0" fontId="0" fillId="0" borderId="3" xfId="0" applyBorder="1"/>
    <xf numFmtId="14" fontId="0" fillId="0" borderId="0" xfId="0" applyNumberFormat="1" applyAlignment="1">
      <alignment horizontal="left" vertical="center"/>
    </xf>
    <xf numFmtId="14" fontId="0" fillId="0" borderId="1" xfId="0" applyNumberFormat="1" applyBorder="1"/>
    <xf numFmtId="14" fontId="0" fillId="0" borderId="0" xfId="0" applyNumberFormat="1" applyBorder="1"/>
    <xf numFmtId="0" fontId="0" fillId="0" borderId="0" xfId="0" pivotButton="1"/>
    <xf numFmtId="0" fontId="0" fillId="0" borderId="0" xfId="0" applyAlignment="1">
      <alignment horizontal="left"/>
    </xf>
  </cellXfs>
  <cellStyles count="1">
    <cellStyle name="Normal" xfId="0" builtinId="0"/>
  </cellStyles>
  <dxfs count="69">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m/d/yyyy"/>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Version 2.xlsm]God Release by year!PivotTable1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4249781277340332"/>
          <c:w val="0.6304328521434821"/>
          <c:h val="0.65853091280256637"/>
        </c:manualLayout>
      </c:layout>
      <c:barChart>
        <c:barDir val="col"/>
        <c:grouping val="clustered"/>
        <c:varyColors val="0"/>
        <c:ser>
          <c:idx val="0"/>
          <c:order val="0"/>
          <c:tx>
            <c:strRef>
              <c:f>'God Release by year'!$B$3:$B$6</c:f>
              <c:strCache>
                <c:ptCount val="1"/>
                <c:pt idx="0">
                  <c:v>2012</c:v>
                </c:pt>
              </c:strCache>
            </c:strRef>
          </c:tx>
          <c:spPr>
            <a:solidFill>
              <a:schemeClr val="accent1"/>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year'!$B$7:$B$12</c:f>
              <c:numCache>
                <c:formatCode>0.00%</c:formatCode>
                <c:ptCount val="5"/>
                <c:pt idx="0">
                  <c:v>0.51597142857142853</c:v>
                </c:pt>
                <c:pt idx="1">
                  <c:v>0.50117500000000004</c:v>
                </c:pt>
                <c:pt idx="2">
                  <c:v>0.51787500000000009</c:v>
                </c:pt>
                <c:pt idx="3">
                  <c:v>0.51176666666666681</c:v>
                </c:pt>
                <c:pt idx="4">
                  <c:v>0.51989999999999992</c:v>
                </c:pt>
              </c:numCache>
            </c:numRef>
          </c:val>
          <c:extLst>
            <c:ext xmlns:c16="http://schemas.microsoft.com/office/drawing/2014/chart" uri="{C3380CC4-5D6E-409C-BE32-E72D297353CC}">
              <c16:uniqueId val="{00000000-C79B-4931-9212-6F9CC8F0A810}"/>
            </c:ext>
          </c:extLst>
        </c:ser>
        <c:ser>
          <c:idx val="1"/>
          <c:order val="1"/>
          <c:tx>
            <c:strRef>
              <c:f>'God Release by year'!$C$3:$C$6</c:f>
              <c:strCache>
                <c:ptCount val="1"/>
                <c:pt idx="0">
                  <c:v>2013</c:v>
                </c:pt>
              </c:strCache>
            </c:strRef>
          </c:tx>
          <c:spPr>
            <a:solidFill>
              <a:schemeClr val="accent2"/>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year'!$C$7:$C$12</c:f>
              <c:numCache>
                <c:formatCode>0.00%</c:formatCode>
                <c:ptCount val="5"/>
                <c:pt idx="0">
                  <c:v>0.48934999999999995</c:v>
                </c:pt>
                <c:pt idx="1">
                  <c:v>0.49540000000000001</c:v>
                </c:pt>
                <c:pt idx="2">
                  <c:v>0.50559999999999994</c:v>
                </c:pt>
                <c:pt idx="3">
                  <c:v>0.52435000000000009</c:v>
                </c:pt>
                <c:pt idx="4">
                  <c:v>0.47885</c:v>
                </c:pt>
              </c:numCache>
            </c:numRef>
          </c:val>
          <c:extLst>
            <c:ext xmlns:c16="http://schemas.microsoft.com/office/drawing/2014/chart" uri="{C3380CC4-5D6E-409C-BE32-E72D297353CC}">
              <c16:uniqueId val="{00000001-5227-4D4E-9F20-863D159DEC61}"/>
            </c:ext>
          </c:extLst>
        </c:ser>
        <c:ser>
          <c:idx val="2"/>
          <c:order val="2"/>
          <c:tx>
            <c:strRef>
              <c:f>'God Release by year'!$D$3:$D$6</c:f>
              <c:strCache>
                <c:ptCount val="1"/>
                <c:pt idx="0">
                  <c:v>2014</c:v>
                </c:pt>
              </c:strCache>
            </c:strRef>
          </c:tx>
          <c:spPr>
            <a:solidFill>
              <a:schemeClr val="accent3"/>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year'!$D$7:$D$12</c:f>
              <c:numCache>
                <c:formatCode>0.00%</c:formatCode>
                <c:ptCount val="5"/>
                <c:pt idx="0">
                  <c:v>0.46446666666666664</c:v>
                </c:pt>
                <c:pt idx="1">
                  <c:v>0.50647500000000001</c:v>
                </c:pt>
                <c:pt idx="2">
                  <c:v>0.48815000000000003</c:v>
                </c:pt>
                <c:pt idx="3">
                  <c:v>0.48697500000000005</c:v>
                </c:pt>
                <c:pt idx="4">
                  <c:v>0.49659999999999999</c:v>
                </c:pt>
              </c:numCache>
            </c:numRef>
          </c:val>
          <c:extLst>
            <c:ext xmlns:c16="http://schemas.microsoft.com/office/drawing/2014/chart" uri="{C3380CC4-5D6E-409C-BE32-E72D297353CC}">
              <c16:uniqueId val="{00000002-5227-4D4E-9F20-863D159DEC61}"/>
            </c:ext>
          </c:extLst>
        </c:ser>
        <c:ser>
          <c:idx val="3"/>
          <c:order val="3"/>
          <c:tx>
            <c:strRef>
              <c:f>'God Release by year'!$E$3:$E$6</c:f>
              <c:strCache>
                <c:ptCount val="1"/>
                <c:pt idx="0">
                  <c:v>2015</c:v>
                </c:pt>
              </c:strCache>
            </c:strRef>
          </c:tx>
          <c:spPr>
            <a:solidFill>
              <a:schemeClr val="accent4"/>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year'!$E$7:$E$12</c:f>
              <c:numCache>
                <c:formatCode>0.00%</c:formatCode>
                <c:ptCount val="5"/>
                <c:pt idx="0">
                  <c:v>0.47450000000000003</c:v>
                </c:pt>
                <c:pt idx="1">
                  <c:v>0.53620000000000001</c:v>
                </c:pt>
                <c:pt idx="2">
                  <c:v>0.50993333333333324</c:v>
                </c:pt>
                <c:pt idx="3">
                  <c:v>0.50929999999999997</c:v>
                </c:pt>
                <c:pt idx="4">
                  <c:v>0.54400000000000004</c:v>
                </c:pt>
              </c:numCache>
            </c:numRef>
          </c:val>
          <c:extLst>
            <c:ext xmlns:c16="http://schemas.microsoft.com/office/drawing/2014/chart" uri="{C3380CC4-5D6E-409C-BE32-E72D297353CC}">
              <c16:uniqueId val="{00000003-5227-4D4E-9F20-863D159DEC61}"/>
            </c:ext>
          </c:extLst>
        </c:ser>
        <c:ser>
          <c:idx val="4"/>
          <c:order val="4"/>
          <c:tx>
            <c:strRef>
              <c:f>'God Release by year'!$F$3:$F$6</c:f>
              <c:strCache>
                <c:ptCount val="1"/>
                <c:pt idx="0">
                  <c:v>2016</c:v>
                </c:pt>
              </c:strCache>
            </c:strRef>
          </c:tx>
          <c:spPr>
            <a:solidFill>
              <a:schemeClr val="accent5"/>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year'!$F$7:$F$12</c:f>
              <c:numCache>
                <c:formatCode>0.00%</c:formatCode>
                <c:ptCount val="5"/>
                <c:pt idx="0">
                  <c:v>0.47545000000000004</c:v>
                </c:pt>
                <c:pt idx="1">
                  <c:v>0.50214999999999999</c:v>
                </c:pt>
                <c:pt idx="2">
                  <c:v>0.5217666666666666</c:v>
                </c:pt>
                <c:pt idx="3">
                  <c:v>0.45979999999999999</c:v>
                </c:pt>
                <c:pt idx="4">
                  <c:v>0.51613333333333333</c:v>
                </c:pt>
              </c:numCache>
            </c:numRef>
          </c:val>
          <c:extLst>
            <c:ext xmlns:c16="http://schemas.microsoft.com/office/drawing/2014/chart" uri="{C3380CC4-5D6E-409C-BE32-E72D297353CC}">
              <c16:uniqueId val="{00000004-5227-4D4E-9F20-863D159DEC61}"/>
            </c:ext>
          </c:extLst>
        </c:ser>
        <c:ser>
          <c:idx val="5"/>
          <c:order val="5"/>
          <c:tx>
            <c:strRef>
              <c:f>'God Release by year'!$G$3:$G$6</c:f>
              <c:strCache>
                <c:ptCount val="1"/>
                <c:pt idx="0">
                  <c:v>2017</c:v>
                </c:pt>
              </c:strCache>
            </c:strRef>
          </c:tx>
          <c:spPr>
            <a:solidFill>
              <a:schemeClr val="accent6"/>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year'!$G$7:$G$12</c:f>
              <c:numCache>
                <c:formatCode>0.00%</c:formatCode>
                <c:ptCount val="5"/>
                <c:pt idx="0">
                  <c:v>0.48249999999999998</c:v>
                </c:pt>
                <c:pt idx="1">
                  <c:v>0.49363333333333331</c:v>
                </c:pt>
                <c:pt idx="2">
                  <c:v>0.50114999999999998</c:v>
                </c:pt>
                <c:pt idx="3">
                  <c:v>0.50949999999999995</c:v>
                </c:pt>
                <c:pt idx="4">
                  <c:v>0.47149999999999997</c:v>
                </c:pt>
              </c:numCache>
            </c:numRef>
          </c:val>
          <c:extLst>
            <c:ext xmlns:c16="http://schemas.microsoft.com/office/drawing/2014/chart" uri="{C3380CC4-5D6E-409C-BE32-E72D297353CC}">
              <c16:uniqueId val="{00000005-5227-4D4E-9F20-863D159DEC61}"/>
            </c:ext>
          </c:extLst>
        </c:ser>
        <c:ser>
          <c:idx val="6"/>
          <c:order val="6"/>
          <c:tx>
            <c:strRef>
              <c:f>'God Release by year'!$H$3:$H$6</c:f>
              <c:strCache>
                <c:ptCount val="1"/>
                <c:pt idx="0">
                  <c:v>2018</c:v>
                </c:pt>
              </c:strCache>
            </c:strRef>
          </c:tx>
          <c:spPr>
            <a:solidFill>
              <a:schemeClr val="accent1">
                <a:lumMod val="60000"/>
              </a:schemeClr>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year'!$H$7:$H$12</c:f>
              <c:numCache>
                <c:formatCode>0.00%</c:formatCode>
                <c:ptCount val="5"/>
                <c:pt idx="0">
                  <c:v>0.50590000000000002</c:v>
                </c:pt>
                <c:pt idx="1">
                  <c:v>0.4718</c:v>
                </c:pt>
                <c:pt idx="2">
                  <c:v>0.53249999999999997</c:v>
                </c:pt>
                <c:pt idx="3">
                  <c:v>0.53469999999999995</c:v>
                </c:pt>
                <c:pt idx="4">
                  <c:v>0.46760000000000002</c:v>
                </c:pt>
              </c:numCache>
            </c:numRef>
          </c:val>
          <c:extLst>
            <c:ext xmlns:c16="http://schemas.microsoft.com/office/drawing/2014/chart" uri="{C3380CC4-5D6E-409C-BE32-E72D297353CC}">
              <c16:uniqueId val="{00000006-5227-4D4E-9F20-863D159DEC61}"/>
            </c:ext>
          </c:extLst>
        </c:ser>
        <c:ser>
          <c:idx val="7"/>
          <c:order val="7"/>
          <c:tx>
            <c:strRef>
              <c:f>'God Release by year'!$I$3:$I$6</c:f>
              <c:strCache>
                <c:ptCount val="1"/>
                <c:pt idx="0">
                  <c:v>2019</c:v>
                </c:pt>
              </c:strCache>
            </c:strRef>
          </c:tx>
          <c:spPr>
            <a:solidFill>
              <a:schemeClr val="accent2">
                <a:lumMod val="60000"/>
              </a:schemeClr>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year'!$I$7:$I$12</c:f>
              <c:numCache>
                <c:formatCode>0.00%</c:formatCode>
                <c:ptCount val="5"/>
                <c:pt idx="0">
                  <c:v>0.46939999999999998</c:v>
                </c:pt>
                <c:pt idx="1">
                  <c:v>0.49104999999999999</c:v>
                </c:pt>
                <c:pt idx="2">
                  <c:v>0.47220000000000001</c:v>
                </c:pt>
                <c:pt idx="3">
                  <c:v>0.50333333333333341</c:v>
                </c:pt>
                <c:pt idx="4">
                  <c:v>0.48630000000000001</c:v>
                </c:pt>
              </c:numCache>
            </c:numRef>
          </c:val>
          <c:extLst>
            <c:ext xmlns:c16="http://schemas.microsoft.com/office/drawing/2014/chart" uri="{C3380CC4-5D6E-409C-BE32-E72D297353CC}">
              <c16:uniqueId val="{00000007-5227-4D4E-9F20-863D159DEC61}"/>
            </c:ext>
          </c:extLst>
        </c:ser>
        <c:ser>
          <c:idx val="8"/>
          <c:order val="8"/>
          <c:tx>
            <c:strRef>
              <c:f>'God Release by year'!$J$3:$J$6</c:f>
              <c:strCache>
                <c:ptCount val="1"/>
                <c:pt idx="0">
                  <c:v>2020</c:v>
                </c:pt>
              </c:strCache>
            </c:strRef>
          </c:tx>
          <c:spPr>
            <a:solidFill>
              <a:schemeClr val="accent3">
                <a:lumMod val="60000"/>
              </a:schemeClr>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year'!$J$7:$J$12</c:f>
              <c:numCache>
                <c:formatCode>0.00%</c:formatCode>
                <c:ptCount val="5"/>
                <c:pt idx="0">
                  <c:v>0.50739999999999996</c:v>
                </c:pt>
                <c:pt idx="1">
                  <c:v>0.50080000000000002</c:v>
                </c:pt>
                <c:pt idx="2">
                  <c:v>0.50780000000000003</c:v>
                </c:pt>
                <c:pt idx="3">
                  <c:v>0.52339999999999998</c:v>
                </c:pt>
                <c:pt idx="4">
                  <c:v>0.5131</c:v>
                </c:pt>
              </c:numCache>
            </c:numRef>
          </c:val>
          <c:extLst>
            <c:ext xmlns:c16="http://schemas.microsoft.com/office/drawing/2014/chart" uri="{C3380CC4-5D6E-409C-BE32-E72D297353CC}">
              <c16:uniqueId val="{00000008-5227-4D4E-9F20-863D159DEC61}"/>
            </c:ext>
          </c:extLst>
        </c:ser>
        <c:ser>
          <c:idx val="9"/>
          <c:order val="9"/>
          <c:tx>
            <c:strRef>
              <c:f>'God Release by year'!$K$3:$K$6</c:f>
              <c:strCache>
                <c:ptCount val="1"/>
                <c:pt idx="0">
                  <c:v>2021</c:v>
                </c:pt>
              </c:strCache>
            </c:strRef>
          </c:tx>
          <c:spPr>
            <a:solidFill>
              <a:schemeClr val="accent4">
                <a:lumMod val="60000"/>
              </a:schemeClr>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year'!$K$7:$K$12</c:f>
              <c:numCache>
                <c:formatCode>0.00%</c:formatCode>
                <c:ptCount val="5"/>
                <c:pt idx="0">
                  <c:v>0.54190000000000005</c:v>
                </c:pt>
                <c:pt idx="1">
                  <c:v>0.51219999999999999</c:v>
                </c:pt>
                <c:pt idx="2">
                  <c:v>0.47339999999999999</c:v>
                </c:pt>
                <c:pt idx="3">
                  <c:v>0.49304999999999999</c:v>
                </c:pt>
                <c:pt idx="4">
                  <c:v>0.49480000000000002</c:v>
                </c:pt>
              </c:numCache>
            </c:numRef>
          </c:val>
          <c:extLst>
            <c:ext xmlns:c16="http://schemas.microsoft.com/office/drawing/2014/chart" uri="{C3380CC4-5D6E-409C-BE32-E72D297353CC}">
              <c16:uniqueId val="{00000009-5227-4D4E-9F20-863D159DEC61}"/>
            </c:ext>
          </c:extLst>
        </c:ser>
        <c:ser>
          <c:idx val="10"/>
          <c:order val="10"/>
          <c:tx>
            <c:strRef>
              <c:f>'God Release by year'!$L$3:$L$6</c:f>
              <c:strCache>
                <c:ptCount val="1"/>
                <c:pt idx="0">
                  <c:v>2022</c:v>
                </c:pt>
              </c:strCache>
            </c:strRef>
          </c:tx>
          <c:spPr>
            <a:solidFill>
              <a:schemeClr val="accent5">
                <a:lumMod val="60000"/>
              </a:schemeClr>
            </a:solidFill>
            <a:ln>
              <a:noFill/>
            </a:ln>
            <a:effectLst/>
          </c:spPr>
          <c:invertIfNegative val="0"/>
          <c:cat>
            <c:strRef>
              <c:f>'God Release by year'!$A$7:$A$12</c:f>
              <c:strCache>
                <c:ptCount val="5"/>
                <c:pt idx="0">
                  <c:v>Assassin</c:v>
                </c:pt>
                <c:pt idx="1">
                  <c:v>Guardian</c:v>
                </c:pt>
                <c:pt idx="2">
                  <c:v>Hunter</c:v>
                </c:pt>
                <c:pt idx="3">
                  <c:v>Mage</c:v>
                </c:pt>
                <c:pt idx="4">
                  <c:v>Warrior</c:v>
                </c:pt>
              </c:strCache>
            </c:strRef>
          </c:cat>
          <c:val>
            <c:numRef>
              <c:f>'God Release by year'!$L$7:$L$12</c:f>
              <c:numCache>
                <c:formatCode>0.00%</c:formatCode>
                <c:ptCount val="5"/>
                <c:pt idx="3">
                  <c:v>0.4506</c:v>
                </c:pt>
                <c:pt idx="4">
                  <c:v>0.53600000000000003</c:v>
                </c:pt>
              </c:numCache>
            </c:numRef>
          </c:val>
          <c:extLst>
            <c:ext xmlns:c16="http://schemas.microsoft.com/office/drawing/2014/chart" uri="{C3380CC4-5D6E-409C-BE32-E72D297353CC}">
              <c16:uniqueId val="{0000000A-5227-4D4E-9F20-863D159DEC61}"/>
            </c:ext>
          </c:extLst>
        </c:ser>
        <c:dLbls>
          <c:showLegendKey val="0"/>
          <c:showVal val="0"/>
          <c:showCatName val="0"/>
          <c:showSerName val="0"/>
          <c:showPercent val="0"/>
          <c:showBubbleSize val="0"/>
        </c:dLbls>
        <c:gapWidth val="219"/>
        <c:overlap val="-27"/>
        <c:axId val="701511104"/>
        <c:axId val="976308880"/>
      </c:barChart>
      <c:catAx>
        <c:axId val="7015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308880"/>
        <c:crosses val="autoZero"/>
        <c:auto val="1"/>
        <c:lblAlgn val="ctr"/>
        <c:lblOffset val="100"/>
        <c:noMultiLvlLbl val="0"/>
      </c:catAx>
      <c:valAx>
        <c:axId val="97630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511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466725</xdr:colOff>
      <xdr:row>2</xdr:row>
      <xdr:rowOff>104775</xdr:rowOff>
    </xdr:from>
    <xdr:to>
      <xdr:col>12</xdr:col>
      <xdr:colOff>257175</xdr:colOff>
      <xdr:row>10</xdr:row>
      <xdr:rowOff>57150</xdr:rowOff>
    </xdr:to>
    <xdr:sp macro="" textlink="">
      <xdr:nvSpPr>
        <xdr:cNvPr id="2" name="TextBox 1">
          <a:extLst>
            <a:ext uri="{FF2B5EF4-FFF2-40B4-BE49-F238E27FC236}">
              <a16:creationId xmlns:a16="http://schemas.microsoft.com/office/drawing/2014/main" id="{07E5D5B9-0761-483E-9E8E-90B2657DE95B}"/>
            </a:ext>
          </a:extLst>
        </xdr:cNvPr>
        <xdr:cNvSpPr txBox="1"/>
      </xdr:nvSpPr>
      <xdr:spPr>
        <a:xfrm>
          <a:off x="15087600" y="485775"/>
          <a:ext cx="16192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Here</a:t>
          </a:r>
          <a:r>
            <a:rPr lang="en-US" sz="1100" baseline="0"/>
            <a:t> is another spreadsheet I pulled off wiki. This tells me every god in the game and their respective type.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488894</xdr:colOff>
      <xdr:row>1</xdr:row>
      <xdr:rowOff>21073</xdr:rowOff>
    </xdr:from>
    <xdr:to>
      <xdr:col>5</xdr:col>
      <xdr:colOff>354026</xdr:colOff>
      <xdr:row>7</xdr:row>
      <xdr:rowOff>67433</xdr:rowOff>
    </xdr:to>
    <xdr:sp macro="" textlink="">
      <xdr:nvSpPr>
        <xdr:cNvPr id="2" name="TextBox 1">
          <a:extLst>
            <a:ext uri="{FF2B5EF4-FFF2-40B4-BE49-F238E27FC236}">
              <a16:creationId xmlns:a16="http://schemas.microsoft.com/office/drawing/2014/main" id="{D989FD01-77F1-400C-A526-A3F7D2E5685E}"/>
            </a:ext>
          </a:extLst>
        </xdr:cNvPr>
        <xdr:cNvSpPr txBox="1"/>
      </xdr:nvSpPr>
      <xdr:spPr>
        <a:xfrm>
          <a:off x="2128374" y="210730"/>
          <a:ext cx="2326460" cy="11843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started with finding</a:t>
          </a:r>
          <a:r>
            <a:rPr lang="en-US" sz="1100" baseline="0"/>
            <a:t> some smite data online. I had to copy and paste the data in to a note pad and then imported that data from the note pad into excel.</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128868</xdr:colOff>
      <xdr:row>8</xdr:row>
      <xdr:rowOff>173691</xdr:rowOff>
    </xdr:from>
    <xdr:to>
      <xdr:col>5</xdr:col>
      <xdr:colOff>207309</xdr:colOff>
      <xdr:row>14</xdr:row>
      <xdr:rowOff>78441</xdr:rowOff>
    </xdr:to>
    <xdr:sp macro="" textlink="">
      <xdr:nvSpPr>
        <xdr:cNvPr id="2" name="TextBox 1">
          <a:extLst>
            <a:ext uri="{FF2B5EF4-FFF2-40B4-BE49-F238E27FC236}">
              <a16:creationId xmlns:a16="http://schemas.microsoft.com/office/drawing/2014/main" id="{97317984-E603-4478-99E1-CFB703FDE595}"/>
            </a:ext>
          </a:extLst>
        </xdr:cNvPr>
        <xdr:cNvSpPr txBox="1"/>
      </xdr:nvSpPr>
      <xdr:spPr>
        <a:xfrm>
          <a:off x="846044" y="1697691"/>
          <a:ext cx="2515721"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then created a VBA</a:t>
          </a:r>
          <a:r>
            <a:rPr lang="en-US" sz="1100" baseline="0"/>
            <a:t> function to take my source data and create it in to this table. This was probably the longest part of the process.</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571500</xdr:colOff>
      <xdr:row>0</xdr:row>
      <xdr:rowOff>152400</xdr:rowOff>
    </xdr:from>
    <xdr:to>
      <xdr:col>22</xdr:col>
      <xdr:colOff>123825</xdr:colOff>
      <xdr:row>5</xdr:row>
      <xdr:rowOff>76200</xdr:rowOff>
    </xdr:to>
    <xdr:sp macro="" textlink="">
      <xdr:nvSpPr>
        <xdr:cNvPr id="2" name="TextBox 1">
          <a:extLst>
            <a:ext uri="{FF2B5EF4-FFF2-40B4-BE49-F238E27FC236}">
              <a16:creationId xmlns:a16="http://schemas.microsoft.com/office/drawing/2014/main" id="{458FC780-CC5B-444D-92D5-42CA21A33982}"/>
            </a:ext>
          </a:extLst>
        </xdr:cNvPr>
        <xdr:cNvSpPr txBox="1"/>
      </xdr:nvSpPr>
      <xdr:spPr>
        <a:xfrm>
          <a:off x="12525375" y="152400"/>
          <a:ext cx="44291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then took my data and trasnsposed</a:t>
          </a:r>
          <a:r>
            <a:rPr lang="en-US" sz="1100" baseline="0"/>
            <a:t> it and turned it in to a table. I added in a number of wins and losses columns. I figured these maybe helpful in answering some questions which you will see on a later tab. I then used vlookup to put together this table and the god type table.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342900</xdr:colOff>
      <xdr:row>3</xdr:row>
      <xdr:rowOff>171450</xdr:rowOff>
    </xdr:from>
    <xdr:to>
      <xdr:col>16</xdr:col>
      <xdr:colOff>1076325</xdr:colOff>
      <xdr:row>32</xdr:row>
      <xdr:rowOff>76199</xdr:rowOff>
    </xdr:to>
    <xdr:sp macro="" textlink="">
      <xdr:nvSpPr>
        <xdr:cNvPr id="2" name="TextBox 1">
          <a:extLst>
            <a:ext uri="{FF2B5EF4-FFF2-40B4-BE49-F238E27FC236}">
              <a16:creationId xmlns:a16="http://schemas.microsoft.com/office/drawing/2014/main" id="{83AF2522-9D65-475A-AB25-FEE46F30ACB3}"/>
            </a:ext>
          </a:extLst>
        </xdr:cNvPr>
        <xdr:cNvSpPr txBox="1"/>
      </xdr:nvSpPr>
      <xdr:spPr>
        <a:xfrm>
          <a:off x="14211300" y="742950"/>
          <a:ext cx="2438400" cy="5429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to Answer</a:t>
          </a:r>
          <a:r>
            <a:rPr lang="en-US" sz="1100" baseline="0"/>
            <a:t> using solver.</a:t>
          </a:r>
        </a:p>
        <a:p>
          <a:r>
            <a:rPr lang="en-US" sz="1100" baseline="0"/>
            <a:t>What team in theory would have the highest win rate in Conquest?</a:t>
          </a:r>
        </a:p>
        <a:p>
          <a:r>
            <a:rPr lang="en-US" sz="1100" baseline="0"/>
            <a:t>Ah Muzen Cab</a:t>
          </a:r>
        </a:p>
        <a:p>
          <a:r>
            <a:rPr lang="en-US" sz="1100"/>
            <a:t>Arachne</a:t>
          </a:r>
        </a:p>
        <a:p>
          <a:r>
            <a:rPr lang="en-US" sz="1100"/>
            <a:t>Eset</a:t>
          </a:r>
        </a:p>
        <a:p>
          <a:r>
            <a:rPr lang="en-US" sz="1100"/>
            <a:t>Nu Wa</a:t>
          </a:r>
        </a:p>
        <a:p>
          <a:r>
            <a:rPr lang="en-US" sz="1100" b="0" i="0" u="none" strike="noStrike">
              <a:solidFill>
                <a:schemeClr val="dk1"/>
              </a:solidFill>
              <a:effectLst/>
              <a:latin typeface="+mn-lt"/>
              <a:ea typeface="+mn-ea"/>
              <a:cs typeface="+mn-cs"/>
            </a:rPr>
            <a:t>Xbalanque</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While this maybe a solution in reality this team is not optimized</a:t>
          </a:r>
          <a:r>
            <a:rPr lang="en-US" sz="1100" b="0" i="0" u="none" strike="noStrike" baseline="0">
              <a:solidFill>
                <a:schemeClr val="dk1"/>
              </a:solidFill>
              <a:effectLst/>
              <a:latin typeface="+mn-lt"/>
              <a:ea typeface="+mn-ea"/>
              <a:cs typeface="+mn-cs"/>
            </a:rPr>
            <a:t> as there is no "Frontline Character" Fix Restrictions</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Created Helper Row that gives a value to each class</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To have a blanced team (one with 5 different classes of gods) with the highest win rate you should play:</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Arachne</a:t>
          </a:r>
        </a:p>
        <a:p>
          <a:r>
            <a:rPr lang="en-US" sz="1100" b="0" i="0" u="none" strike="noStrike" baseline="0">
              <a:solidFill>
                <a:schemeClr val="dk1"/>
              </a:solidFill>
              <a:effectLst/>
              <a:latin typeface="+mn-lt"/>
              <a:ea typeface="+mn-ea"/>
              <a:cs typeface="+mn-cs"/>
            </a:rPr>
            <a:t>Bellona</a:t>
          </a:r>
        </a:p>
        <a:p>
          <a:r>
            <a:rPr lang="en-US" sz="1100" b="0" i="0" u="none" strike="noStrike" baseline="0">
              <a:solidFill>
                <a:schemeClr val="dk1"/>
              </a:solidFill>
              <a:effectLst/>
              <a:latin typeface="+mn-lt"/>
              <a:ea typeface="+mn-ea"/>
              <a:cs typeface="+mn-cs"/>
            </a:rPr>
            <a:t>Khepri</a:t>
          </a:r>
        </a:p>
        <a:p>
          <a:r>
            <a:rPr lang="en-US" sz="1100" b="0" i="0" u="none" strike="noStrike" baseline="0">
              <a:solidFill>
                <a:schemeClr val="dk1"/>
              </a:solidFill>
              <a:effectLst/>
              <a:latin typeface="+mn-lt"/>
              <a:ea typeface="+mn-ea"/>
              <a:cs typeface="+mn-cs"/>
            </a:rPr>
            <a:t>Nu Wa</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Xbalanque</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While we can</a:t>
          </a:r>
          <a:r>
            <a:rPr lang="en-US" sz="1100" b="0" i="0" baseline="0">
              <a:solidFill>
                <a:schemeClr val="dk1"/>
              </a:solidFill>
              <a:effectLst/>
              <a:latin typeface="+mn-lt"/>
              <a:ea typeface="+mn-ea"/>
              <a:cs typeface="+mn-cs"/>
            </a:rPr>
            <a:t> use solver to answer these questions we can also use a pivot table.</a:t>
          </a:r>
          <a:endParaRPr lang="en-US">
            <a:effectLst/>
          </a:endParaRPr>
        </a:p>
        <a:p>
          <a:endParaRPr lang="en-US" sz="1100" b="0" i="0" u="none" strike="noStrike" baseline="0">
            <a:solidFill>
              <a:schemeClr val="dk1"/>
            </a:solidFill>
            <a:effectLst/>
            <a:latin typeface="+mn-lt"/>
            <a:ea typeface="+mn-ea"/>
            <a:cs typeface="+mn-cs"/>
          </a:endParaRPr>
        </a:p>
        <a:p>
          <a:endParaRPr lang="en-US" sz="1100" b="0" i="0" u="none" strike="noStrike" baseline="0">
            <a:solidFill>
              <a:schemeClr val="dk1"/>
            </a:solidFill>
            <a:effectLst/>
            <a:latin typeface="+mn-lt"/>
            <a:ea typeface="+mn-ea"/>
            <a:cs typeface="+mn-cs"/>
          </a:endParaRPr>
        </a:p>
        <a:p>
          <a:endParaRPr lang="en-US" sz="1100" b="0" i="0" u="none" strike="noStrike" baseline="0">
            <a:solidFill>
              <a:schemeClr val="dk1"/>
            </a:solidFill>
            <a:effectLst/>
            <a:latin typeface="+mn-lt"/>
            <a:ea typeface="+mn-ea"/>
            <a:cs typeface="+mn-cs"/>
          </a:endParaRPr>
        </a:p>
        <a:p>
          <a:endParaRPr lang="en-US" sz="1100" b="0" i="0" u="none" strike="noStrike" baseline="0">
            <a:solidFill>
              <a:schemeClr val="dk1"/>
            </a:solidFill>
            <a:effectLst/>
            <a:latin typeface="+mn-lt"/>
            <a:ea typeface="+mn-ea"/>
            <a:cs typeface="+mn-cs"/>
          </a:endParaRPr>
        </a:p>
        <a:p>
          <a:endParaRPr lang="en-US" sz="1100" b="0" i="0" u="none" strike="noStrike" baseline="0">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152400</xdr:colOff>
      <xdr:row>15</xdr:row>
      <xdr:rowOff>76199</xdr:rowOff>
    </xdr:from>
    <xdr:to>
      <xdr:col>15</xdr:col>
      <xdr:colOff>323849</xdr:colOff>
      <xdr:row>37</xdr:row>
      <xdr:rowOff>142875</xdr:rowOff>
    </xdr:to>
    <xdr:graphicFrame macro="">
      <xdr:nvGraphicFramePr>
        <xdr:cNvPr id="2" name="Chart 1">
          <a:extLst>
            <a:ext uri="{FF2B5EF4-FFF2-40B4-BE49-F238E27FC236}">
              <a16:creationId xmlns:a16="http://schemas.microsoft.com/office/drawing/2014/main" id="{4EBDF4E6-115C-4D67-8C4E-3E87BF3D5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142875</xdr:colOff>
      <xdr:row>2</xdr:row>
      <xdr:rowOff>28575</xdr:rowOff>
    </xdr:from>
    <xdr:to>
      <xdr:col>20</xdr:col>
      <xdr:colOff>266700</xdr:colOff>
      <xdr:row>15</xdr:row>
      <xdr:rowOff>76200</xdr:rowOff>
    </xdr:to>
    <mc:AlternateContent xmlns:mc="http://schemas.openxmlformats.org/markup-compatibility/2006" xmlns:a14="http://schemas.microsoft.com/office/drawing/2010/main">
      <mc:Choice Requires="a14">
        <xdr:graphicFrame macro="">
          <xdr:nvGraphicFramePr>
            <xdr:cNvPr id="3" name="Class">
              <a:extLst>
                <a:ext uri="{FF2B5EF4-FFF2-40B4-BE49-F238E27FC236}">
                  <a16:creationId xmlns:a16="http://schemas.microsoft.com/office/drawing/2014/main" id="{AB3888B0-7D42-48FF-BE2C-7ECDA8C8C531}"/>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1018222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200025</xdr:colOff>
      <xdr:row>16</xdr:row>
      <xdr:rowOff>38100</xdr:rowOff>
    </xdr:from>
    <xdr:to>
      <xdr:col>22</xdr:col>
      <xdr:colOff>285750</xdr:colOff>
      <xdr:row>23</xdr:row>
      <xdr:rowOff>76200</xdr:rowOff>
    </xdr:to>
    <mc:AlternateContent xmlns:mc="http://schemas.openxmlformats.org/markup-compatibility/2006" xmlns:tsle="http://schemas.microsoft.com/office/drawing/2012/timeslicer">
      <mc:Choice Requires="tsle">
        <xdr:graphicFrame macro="">
          <xdr:nvGraphicFramePr>
            <xdr:cNvPr id="4" name="Date of Release">
              <a:extLst>
                <a:ext uri="{FF2B5EF4-FFF2-40B4-BE49-F238E27FC236}">
                  <a16:creationId xmlns:a16="http://schemas.microsoft.com/office/drawing/2014/main" id="{58BA21B1-2F50-4C9E-AA22-25FE9D2572E2}"/>
                </a:ext>
              </a:extLst>
            </xdr:cNvPr>
            <xdr:cNvGraphicFramePr/>
          </xdr:nvGraphicFramePr>
          <xdr:xfrm>
            <a:off x="0" y="0"/>
            <a:ext cx="0" cy="0"/>
          </xdr:xfrm>
          <a:graphic>
            <a:graphicData uri="http://schemas.microsoft.com/office/drawing/2012/timeslicer">
              <tsle:timeslicer name="Date of Release"/>
            </a:graphicData>
          </a:graphic>
        </xdr:graphicFrame>
      </mc:Choice>
      <mc:Fallback xmlns="">
        <xdr:sp macro="" textlink="">
          <xdr:nvSpPr>
            <xdr:cNvPr id="0" name=""/>
            <xdr:cNvSpPr>
              <a:spLocks noTextEdit="1"/>
            </xdr:cNvSpPr>
          </xdr:nvSpPr>
          <xdr:spPr>
            <a:xfrm>
              <a:off x="9763125" y="30861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davl" refreshedDate="44675.706940393517" createdVersion="7" refreshedVersion="7" minRefreshableVersion="3" recordCount="120" xr:uid="{D6BFBD9D-33FE-4BB2-BF09-F740C8E66AE4}">
  <cacheSource type="worksheet">
    <worksheetSource name="Table37"/>
  </cacheSource>
  <cacheFields count="17">
    <cacheField name="GOD" numFmtId="0">
      <sharedItems count="120">
        <s v="ACHILLES"/>
        <s v="AGNI"/>
        <s v="AH MUZEN CAB"/>
        <s v="AH PUCH"/>
        <s v="AMATERASU"/>
        <s v="ANHUR"/>
        <s v="ANUBIS"/>
        <s v="AO KUANG"/>
        <s v="APHRODITE"/>
        <s v="APOLLO"/>
        <s v="ARACHNE"/>
        <s v="ARES"/>
        <s v="ARTEMIS"/>
        <s v="ARTIO"/>
        <s v="ATHENA"/>
        <s v="ATLAS"/>
        <s v="AWILIX"/>
        <s v="BABA YAGA"/>
        <s v="BACCHUS"/>
        <s v="BAKASURA"/>
        <s v="BARON SAMEDI"/>
        <s v="BASTET"/>
        <s v="BELLONA"/>
        <s v="CABRAKAN"/>
        <s v="CAMAZOTZ"/>
        <s v="CERBERUS"/>
        <s v="CERNUNNOS"/>
        <s v="CHAAC"/>
        <s v="CHANG'E"/>
        <s v="CHARYBDIS"/>
        <s v="CHERNOBOG"/>
        <s v="CHIRON"/>
        <s v="CHRONOS"/>
        <s v="CLIODHNA"/>
        <s v="CTHULHU"/>
        <s v="CU CHULAINN"/>
        <s v="CUPID"/>
        <s v="DA JI"/>
        <s v="DANZABUROU"/>
        <s v="DISCORDIA"/>
        <s v="ERLANG SHEN"/>
        <s v="ESET"/>
        <s v="FAFNIR"/>
        <s v="FENRIR"/>
        <s v="FREYA"/>
        <s v="GANESHA"/>
        <s v="GEB"/>
        <s v="GILGAMESH"/>
        <s v="GUAN YU"/>
        <s v="HACHIMAN"/>
        <s v="HADES"/>
        <s v="HE BO"/>
        <s v="HEIMDALLR"/>
        <s v="HEL"/>
        <s v="HERA"/>
        <s v="HERCULES"/>
        <s v="HORUS"/>
        <s v="HOU YI"/>
        <s v="HUN BATZ"/>
        <s v="IZANAMI"/>
        <s v="JANUS"/>
        <s v="JING WEI"/>
        <s v="JORMUNGANDR"/>
        <s v="KALI"/>
        <s v="KHEPRI"/>
        <s v="KING ARTHUR"/>
        <s v="KUKULKAN"/>
        <s v="KUMBHAKARNA"/>
        <s v="KUZENBO"/>
        <s v="LOKI"/>
        <s v="MEDUSA"/>
        <s v="MERCURY"/>
        <s v="MERLIN"/>
        <s v="MORGAN LE FAY"/>
        <s v="MULAN"/>
        <s v="NE ZHA"/>
        <s v="NEITH"/>
        <s v="NEMESIS"/>
        <s v="NIKE"/>
        <s v="NOX"/>
        <s v="NU WA"/>
        <s v="ODIN"/>
        <s v="OLORUN"/>
        <s v="OSIRIS"/>
        <s v="PELE"/>
        <s v="PERSEPHONE"/>
        <s v="POSEIDON"/>
        <s v="RA"/>
        <s v="RAIJIN"/>
        <s v="RAMA"/>
        <s v="RATATOSKR"/>
        <s v="RAVANA"/>
        <s v="SCYLLA"/>
        <s v="SERQET"/>
        <s v="SET"/>
        <s v="SHIVA"/>
        <s v="SKADI"/>
        <s v="SOBEK"/>
        <s v="SOL"/>
        <s v="SUN WUKONG"/>
        <s v="SUSANO"/>
        <s v="SYLVANUS"/>
        <s v="TERRA"/>
        <s v="THANATOS"/>
        <s v="THE MORRIGAN"/>
        <s v="THOR"/>
        <s v="THOTH"/>
        <s v="TIAMAT"/>
        <s v="TSUKUYOMI"/>
        <s v="TYR"/>
        <s v="ULLR"/>
        <s v="VAMANA"/>
        <s v="VULCAN"/>
        <s v="XBALANQUE"/>
        <s v="XING TIAN"/>
        <s v="YEMOJA"/>
        <s v="YMIR"/>
        <s v="YU HUANG"/>
        <s v="ZEUS"/>
        <s v="ZHONG KUI"/>
      </sharedItems>
    </cacheField>
    <cacheField name="WIN RATE" numFmtId="0">
      <sharedItems containsSemiMixedTypes="0" containsString="0" containsNumber="1" minValue="0.40920000000000001" maxValue="0.56599999999999995" count="112">
        <n v="0.46760000000000002"/>
        <n v="0.53039999999999998"/>
        <n v="0.51049999999999995"/>
        <n v="0.52629999999999999"/>
        <n v="0.53449999999999998"/>
        <n v="0.46179999999999999"/>
        <n v="0.52690000000000003"/>
        <n v="0.4945"/>
        <n v="0.49940000000000001"/>
        <n v="0.51019999999999999"/>
        <n v="0.56599999999999995"/>
        <n v="0.51570000000000005"/>
        <n v="0.5423"/>
        <n v="0.49809999999999999"/>
        <n v="0.49540000000000001"/>
        <n v="0.51219999999999999"/>
        <n v="0.48920000000000002"/>
        <n v="0.52339999999999998"/>
        <n v="0.50800000000000001"/>
        <n v="0.54390000000000005"/>
        <n v="0.54049999999999998"/>
        <n v="0.54400000000000004"/>
        <n v="0.502"/>
        <n v="0.47160000000000002"/>
        <n v="0.4718"/>
        <n v="0.52969999999999995"/>
        <n v="0.50509999999999999"/>
        <n v="0.52610000000000001"/>
        <n v="0.47339999999999999"/>
        <n v="0.53249999999999997"/>
        <n v="0.53159999999999996"/>
        <n v="0.51939999999999997"/>
        <n v="0.54190000000000005"/>
        <n v="0.50080000000000002"/>
        <n v="0.47149999999999997"/>
        <n v="0.51700000000000002"/>
        <n v="0.48249999999999998"/>
        <n v="0.50780000000000003"/>
        <n v="0.54159999999999997"/>
        <n v="0.51429999999999998"/>
        <n v="0.5474"/>
        <n v="0.49490000000000001"/>
        <n v="0.47649999999999998"/>
        <n v="0.50700000000000001"/>
        <n v="0.50449999999999995"/>
        <n v="0.49480000000000002"/>
        <n v="0.51280000000000003"/>
        <n v="0.47260000000000002"/>
        <n v="0.4798"/>
        <n v="0.47220000000000001"/>
        <n v="0.45400000000000001"/>
        <n v="0.52890000000000004"/>
        <n v="0.439"/>
        <n v="0.5151"/>
        <n v="0.48870000000000002"/>
        <n v="0.47849999999999998"/>
        <n v="0.51359999999999995"/>
        <n v="0.45700000000000002"/>
        <n v="0.51070000000000004"/>
        <n v="0.53669999999999995"/>
        <n v="0.54379999999999995"/>
        <n v="0.45750000000000002"/>
        <n v="0.52569999999999995"/>
        <n v="0.49819999999999998"/>
        <n v="0.4783"/>
        <n v="0.50360000000000005"/>
        <n v="0.50949999999999995"/>
        <n v="0.5"/>
        <n v="0.50939999999999996"/>
        <n v="0.5131"/>
        <n v="0.46200000000000002"/>
        <n v="0.49609999999999999"/>
        <n v="0.495"/>
        <n v="0.49959999999999999"/>
        <n v="0.48370000000000002"/>
        <n v="0.5504"/>
        <n v="0.50519999999999998"/>
        <n v="0.50470000000000004"/>
        <n v="0.49659999999999999"/>
        <n v="0.50590000000000002"/>
        <n v="0.50529999999999997"/>
        <n v="0.53510000000000002"/>
        <n v="0.5071"/>
        <n v="0.48130000000000001"/>
        <n v="0.50570000000000004"/>
        <n v="0.47110000000000002"/>
        <n v="0.47789999999999999"/>
        <n v="0.51270000000000004"/>
        <n v="0.40920000000000001"/>
        <n v="0.46939999999999998"/>
        <n v="0.53600000000000003"/>
        <n v="0.52829999999999999"/>
        <n v="0.47310000000000002"/>
        <n v="0.49230000000000002"/>
        <n v="0.50819999999999999"/>
        <n v="0.4793"/>
        <n v="0.50229999999999997"/>
        <n v="0.4844"/>
        <n v="0.47739999999999999"/>
        <n v="0.45679999999999998"/>
        <n v="0.43830000000000002"/>
        <n v="0.47670000000000001"/>
        <n v="0.50739999999999996"/>
        <n v="0.46310000000000001"/>
        <n v="0.47060000000000002"/>
        <n v="0.54169999999999996"/>
        <n v="0.51470000000000005"/>
        <n v="0.52859999999999996"/>
        <n v="0.47139999999999999"/>
        <n v="0.50790000000000002"/>
        <n v="0.4506"/>
        <n v="0.53310000000000002"/>
      </sharedItems>
    </cacheField>
    <cacheField name="MATCHES" numFmtId="0">
      <sharedItems containsSemiMixedTypes="0" containsString="0" containsNumber="1" containsInteger="1" minValue="1681" maxValue="78602"/>
    </cacheField>
    <cacheField name="KDA" numFmtId="0">
      <sharedItems containsSemiMixedTypes="0" containsString="0" containsNumber="1" minValue="1.27" maxValue="2.23"/>
    </cacheField>
    <cacheField name="DAMAGE" numFmtId="0">
      <sharedItems containsSemiMixedTypes="0" containsString="0" containsNumber="1" containsInteger="1" minValue="7412" maxValue="24012"/>
    </cacheField>
    <cacheField name="HEALING" numFmtId="0">
      <sharedItems containsSemiMixedTypes="0" containsString="0" containsNumber="1" containsInteger="1" minValue="12" maxValue="6126"/>
    </cacheField>
    <cacheField name="MITIGATED" numFmtId="0">
      <sharedItems containsSemiMixedTypes="0" containsString="0" containsNumber="1" containsInteger="1" minValue="5570" maxValue="39891"/>
    </cacheField>
    <cacheField name="Number of wins" numFmtId="1">
      <sharedItems containsSemiMixedTypes="0" containsString="0" containsNumber="1" minValue="809.06529999999998" maxValue="35418.061199999996"/>
    </cacheField>
    <cacheField name="Number of Losses" numFmtId="1">
      <sharedItems containsSemiMixedTypes="0" containsString="0" containsNumber="1" minValue="871.93470000000002" maxValue="43183.938800000004"/>
    </cacheField>
    <cacheField name="Pantheon" numFmtId="0">
      <sharedItems/>
    </cacheField>
    <cacheField name="Class" numFmtId="0">
      <sharedItems count="5">
        <s v="Warrior"/>
        <s v="Mage"/>
        <s v="Hunter"/>
        <s v="Assassin"/>
        <s v="Guardian"/>
      </sharedItems>
    </cacheField>
    <cacheField name="Difficulty" numFmtId="0">
      <sharedItems/>
    </cacheField>
    <cacheField name="Attack Type" numFmtId="0">
      <sharedItems/>
    </cacheField>
    <cacheField name="Power Type" numFmtId="0">
      <sharedItems/>
    </cacheField>
    <cacheField name="Date of Release" numFmtId="14">
      <sharedItems containsSemiMixedTypes="0" containsNonDate="0" containsDate="1" containsString="0" minDate="2012-05-31T00:00:00" maxDate="2022-04-20T00:00:00" count="103">
        <d v="2018-02-27T00:00:00"/>
        <d v="2012-05-31T00:00:00"/>
        <d v="2013-11-07T00:00:00"/>
        <d v="2015-04-28T00:00:00"/>
        <d v="2016-01-12T00:00:00"/>
        <d v="2012-08-03T00:00:00"/>
        <d v="2014-11-19T00:00:00"/>
        <d v="2013-03-13T00:00:00"/>
        <d v="2013-03-28T00:00:00"/>
        <d v="2012-10-04T00:00:00"/>
        <d v="2017-08-01T00:00:00"/>
        <d v="2013-06-05T00:00:00"/>
        <d v="2021-12-14T00:00:00"/>
        <d v="2014-12-17T00:00:00"/>
        <d v="2020-04-21T00:00:00"/>
        <d v="2012-11-19T00:00:00"/>
        <d v="2012-07-20T00:00:00"/>
        <d v="2018-06-26T00:00:00"/>
        <d v="2015-02-25T00:00:00"/>
        <d v="2014-08-19T00:00:00"/>
        <d v="2016-10-11T00:00:00"/>
        <d v="2018-01-09T00:00:00"/>
        <d v="2017-03-14T00:00:00"/>
        <d v="2013-12-18T00:00:00"/>
        <d v="2013-07-24T00:00:00"/>
        <d v="2021-08-24T00:00:00"/>
        <d v="2018-05-15T00:00:00"/>
        <d v="2015-11-17T00:00:00"/>
        <d v="2013-07-10T00:00:00"/>
        <d v="2021-10-19T00:00:00"/>
        <d v="2020-06-16T00:00:00"/>
        <d v="2017-06-20T00:00:00"/>
        <d v="2012-08-17T00:00:00"/>
        <d v="2017-05-24T00:00:00"/>
        <d v="2020-12-15T00:00:00"/>
        <d v="2017-11-06T00:00:00"/>
        <d v="2016-07-06T00:00:00"/>
        <d v="2013-05-15T00:00:00"/>
        <d v="2016-06-07T00:00:00"/>
        <d v="2013-05-01T00:00:00"/>
        <d v="2012-10-18T00:00:00"/>
        <d v="2017-04-25T00:00:00"/>
        <d v="2014-01-16T00:00:00"/>
        <d v="2021-04-20T00:00:00"/>
        <d v="2012-06-29T00:00:00"/>
        <d v="2017-09-13T00:00:00"/>
        <d v="2019-12-11T00:00:00"/>
        <d v="2018-10-15T00:00:00"/>
        <d v="2013-01-09T00:00:00"/>
        <d v="2019-04-30T00:00:00"/>
        <d v="2015-01-14T00:00:00"/>
        <d v="2016-08-30T00:00:00"/>
        <d v="2014-05-28T00:00:00"/>
        <d v="2016-04-12T00:00:00"/>
        <d v="2019-03-05T00:00:00"/>
        <d v="2015-08-04T00:00:00"/>
        <d v="2019-01-07T00:00:00"/>
        <d v="2014-04-16T00:00:00"/>
        <d v="2017-02-14T00:00:00"/>
        <d v="2012-11-02T00:00:00"/>
        <d v="2015-04-01T00:00:00"/>
        <d v="2013-10-02T00:00:00"/>
        <d v="2019-02-11T00:00:00"/>
        <d v="2021-06-15T00:00:00"/>
        <d v="2020-02-25T00:00:00"/>
        <d v="2013-04-17T00:00:00"/>
        <d v="2013-02-13T00:00:00"/>
        <d v="2014-02-06T00:00:00"/>
        <d v="2016-12-06T00:00:00"/>
        <d v="2014-10-29T00:00:00"/>
        <d v="2013-12-05T00:00:00"/>
        <d v="2019-06-25T00:00:00"/>
        <d v="2014-05-06T00:00:00"/>
        <d v="2018-08-06T00:00:00"/>
        <d v="2019-08-20T00:00:00"/>
        <d v="2013-02-28T00:00:00"/>
        <d v="2016-02-16T00:00:00"/>
        <d v="2014-06-24T00:00:00"/>
        <d v="2015-06-02T00:00:00"/>
        <d v="2015-06-30T00:00:00"/>
        <d v="2014-03-05T00:00:00"/>
        <d v="2014-07-15T00:00:00"/>
        <d v="2022-02-22T00:00:00"/>
        <d v="2016-03-15T00:00:00"/>
        <d v="2015-10-06T00:00:00"/>
        <d v="2013-10-23T00:00:00"/>
        <d v="2016-05-10T00:00:00"/>
        <d v="2014-10-01T00:00:00"/>
        <d v="2016-08-02T00:00:00"/>
        <d v="2013-09-18T00:00:00"/>
        <d v="2017-01-10T00:00:00"/>
        <d v="2012-09-06T00:00:00"/>
        <d v="2016-11-08T00:00:00"/>
        <d v="2021-02-23T00:00:00"/>
        <d v="2020-08-11T00:00:00"/>
        <d v="2013-08-07T00:00:00"/>
        <d v="2014-03-19T00:00:00"/>
        <d v="2013-01-30T00:00:00"/>
        <d v="2012-12-21T00:00:00"/>
        <d v="2015-09-01T00:00:00"/>
        <d v="2019-10-15T00:00:00"/>
        <d v="2022-04-19T00:00:00"/>
        <d v="2013-08-28T00:00:00"/>
      </sharedItems>
      <fieldGroup par="16" base="14">
        <rangePr groupBy="months" startDate="2012-05-31T00:00:00" endDate="2022-04-20T00:00:00"/>
        <groupItems count="14">
          <s v="&lt;5/31/2012"/>
          <s v="Jan"/>
          <s v="Feb"/>
          <s v="Mar"/>
          <s v="Apr"/>
          <s v="May"/>
          <s v="Jun"/>
          <s v="Jul"/>
          <s v="Aug"/>
          <s v="Sep"/>
          <s v="Oct"/>
          <s v="Nov"/>
          <s v="Dec"/>
          <s v="&gt;4/20/2022"/>
        </groupItems>
      </fieldGroup>
    </cacheField>
    <cacheField name="Quarters" numFmtId="0" databaseField="0">
      <fieldGroup base="14">
        <rangePr groupBy="quarters" startDate="2012-05-31T00:00:00" endDate="2022-04-20T00:00:00"/>
        <groupItems count="6">
          <s v="&lt;5/31/2012"/>
          <s v="Qtr1"/>
          <s v="Qtr2"/>
          <s v="Qtr3"/>
          <s v="Qtr4"/>
          <s v="&gt;4/20/2022"/>
        </groupItems>
      </fieldGroup>
    </cacheField>
    <cacheField name="Years" numFmtId="0" databaseField="0">
      <fieldGroup base="14">
        <rangePr groupBy="years" startDate="2012-05-31T00:00:00" endDate="2022-04-20T00:00:00"/>
        <groupItems count="13">
          <s v="&lt;5/31/2012"/>
          <s v="2012"/>
          <s v="2013"/>
          <s v="2014"/>
          <s v="2015"/>
          <s v="2016"/>
          <s v="2017"/>
          <s v="2018"/>
          <s v="2019"/>
          <s v="2020"/>
          <s v="2021"/>
          <s v="2022"/>
          <s v="&gt;4/20/2022"/>
        </groupItems>
      </fieldGroup>
    </cacheField>
  </cacheFields>
  <extLst>
    <ext xmlns:x14="http://schemas.microsoft.com/office/spreadsheetml/2009/9/main" uri="{725AE2AE-9491-48be-B2B4-4EB974FC3084}">
      <x14:pivotCacheDefinition pivotCacheId="4949341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x v="0"/>
    <n v="9303"/>
    <n v="1.85"/>
    <n v="15377"/>
    <n v="84"/>
    <n v="30734"/>
    <n v="4350.0828000000001"/>
    <n v="4952.9171999999999"/>
    <s v="Greek"/>
    <x v="0"/>
    <s v="Average"/>
    <s v="Melee"/>
    <s v="Physical"/>
    <x v="0"/>
  </r>
  <r>
    <x v="1"/>
    <x v="1"/>
    <n v="5850"/>
    <n v="1.64"/>
    <n v="19601"/>
    <n v="153"/>
    <n v="6508"/>
    <n v="3102.8399999999997"/>
    <n v="2747.1600000000003"/>
    <s v="Hindu"/>
    <x v="1"/>
    <s v="Hard"/>
    <s v="Ranged"/>
    <s v="Magical"/>
    <x v="1"/>
  </r>
  <r>
    <x v="2"/>
    <x v="2"/>
    <n v="8560"/>
    <n v="1.55"/>
    <n v="18703"/>
    <n v="31"/>
    <n v="8465"/>
    <n v="4369.8799999999992"/>
    <n v="4190.1200000000008"/>
    <s v="Maya"/>
    <x v="2"/>
    <s v="Average"/>
    <s v="Ranged"/>
    <s v="Physical"/>
    <x v="2"/>
  </r>
  <r>
    <x v="3"/>
    <x v="3"/>
    <n v="4138"/>
    <n v="1.65"/>
    <n v="20598"/>
    <n v="139"/>
    <n v="9937"/>
    <n v="2177.8294000000001"/>
    <n v="1960.1705999999999"/>
    <s v="Maya"/>
    <x v="1"/>
    <s v="Average"/>
    <s v="Ranged"/>
    <s v="Magical"/>
    <x v="3"/>
  </r>
  <r>
    <x v="4"/>
    <x v="4"/>
    <n v="7309"/>
    <n v="1.93"/>
    <n v="14947"/>
    <n v="149"/>
    <n v="30748"/>
    <n v="3906.6605"/>
    <n v="3402.3395"/>
    <s v="Japanese"/>
    <x v="0"/>
    <s v="Average"/>
    <s v="Melee"/>
    <s v="Physical"/>
    <x v="4"/>
  </r>
  <r>
    <x v="5"/>
    <x v="5"/>
    <n v="7244"/>
    <n v="1.48"/>
    <n v="15507"/>
    <n v="32"/>
    <n v="8100"/>
    <n v="3345.2791999999999"/>
    <n v="3898.7208000000001"/>
    <s v="Egyptian"/>
    <x v="2"/>
    <s v="Average"/>
    <s v="Ranged"/>
    <s v="Physical"/>
    <x v="5"/>
  </r>
  <r>
    <x v="6"/>
    <x v="6"/>
    <n v="10571"/>
    <n v="1.56"/>
    <n v="18020"/>
    <n v="84"/>
    <n v="10563"/>
    <n v="5569.8599000000004"/>
    <n v="5001.1400999999996"/>
    <s v="Egyptian"/>
    <x v="1"/>
    <s v="Easy"/>
    <s v="Ranged"/>
    <s v="Magical"/>
    <x v="1"/>
  </r>
  <r>
    <x v="7"/>
    <x v="7"/>
    <n v="9007"/>
    <n v="1.93"/>
    <n v="16255"/>
    <n v="44"/>
    <n v="13221"/>
    <n v="4453.9615000000003"/>
    <n v="4553.0384999999997"/>
    <s v="Chinese"/>
    <x v="1"/>
    <s v="Hard"/>
    <s v="Melee"/>
    <s v="Magical"/>
    <x v="6"/>
  </r>
  <r>
    <x v="8"/>
    <x v="8"/>
    <n v="6476"/>
    <n v="1.5"/>
    <n v="11612"/>
    <n v="6126"/>
    <n v="15132"/>
    <n v="3234.1143999999999"/>
    <n v="3241.8856000000001"/>
    <s v="Greek"/>
    <x v="1"/>
    <s v="Hard"/>
    <s v="Ranged"/>
    <s v="Magical"/>
    <x v="7"/>
  </r>
  <r>
    <x v="9"/>
    <x v="9"/>
    <n v="11716"/>
    <n v="1.66"/>
    <n v="16399"/>
    <n v="23"/>
    <n v="8786"/>
    <n v="5977.5032000000001"/>
    <n v="5738.4967999999999"/>
    <s v="Greek"/>
    <x v="2"/>
    <s v="Easy"/>
    <s v="Ranged"/>
    <s v="Physical"/>
    <x v="8"/>
  </r>
  <r>
    <x v="10"/>
    <x v="10"/>
    <n v="14234"/>
    <n v="2.15"/>
    <n v="17094"/>
    <n v="33"/>
    <n v="13393"/>
    <n v="8056.4439999999995"/>
    <n v="6177.5560000000005"/>
    <s v="Greek"/>
    <x v="3"/>
    <s v="Average"/>
    <s v="Melee"/>
    <s v="Physical"/>
    <x v="1"/>
  </r>
  <r>
    <x v="11"/>
    <x v="11"/>
    <n v="12009"/>
    <n v="1.71"/>
    <n v="12066"/>
    <n v="356"/>
    <n v="33552"/>
    <n v="6193.0413000000008"/>
    <n v="5815.9586999999992"/>
    <s v="Greek"/>
    <x v="4"/>
    <s v="Easy"/>
    <s v="Melee"/>
    <s v="Magical"/>
    <x v="9"/>
  </r>
  <r>
    <x v="12"/>
    <x v="12"/>
    <n v="11062"/>
    <n v="1.56"/>
    <n v="19800"/>
    <n v="48"/>
    <n v="8086"/>
    <n v="5998.9225999999999"/>
    <n v="5063.0774000000001"/>
    <s v="Greek"/>
    <x v="2"/>
    <s v="Average"/>
    <s v="Ranged"/>
    <s v="Physical"/>
    <x v="1"/>
  </r>
  <r>
    <x v="13"/>
    <x v="13"/>
    <n v="6780"/>
    <n v="1.71"/>
    <n v="10690"/>
    <n v="1652"/>
    <n v="34914"/>
    <n v="3377.1179999999999"/>
    <n v="3402.8820000000001"/>
    <s v="Celtic"/>
    <x v="4"/>
    <s v="Average"/>
    <s v="Melee"/>
    <s v="Magical"/>
    <x v="10"/>
  </r>
  <r>
    <x v="14"/>
    <x v="14"/>
    <n v="13271"/>
    <n v="1.85"/>
    <n v="10103"/>
    <n v="540"/>
    <n v="33202"/>
    <n v="6574.4534000000003"/>
    <n v="6696.5465999999997"/>
    <s v="Greek"/>
    <x v="4"/>
    <s v="Easy"/>
    <s v="Melee"/>
    <s v="Magical"/>
    <x v="11"/>
  </r>
  <r>
    <x v="15"/>
    <x v="15"/>
    <n v="15104"/>
    <n v="2.02"/>
    <n v="12741"/>
    <n v="604"/>
    <n v="32236"/>
    <n v="7736.2687999999998"/>
    <n v="7367.7312000000002"/>
    <s v="Greek"/>
    <x v="4"/>
    <s v="Easy"/>
    <s v="Melee"/>
    <s v="Magical"/>
    <x v="12"/>
  </r>
  <r>
    <x v="16"/>
    <x v="16"/>
    <n v="9867"/>
    <n v="1.9"/>
    <n v="15872"/>
    <n v="19"/>
    <n v="10151"/>
    <n v="4826.9364000000005"/>
    <n v="5040.0635999999995"/>
    <s v="Maya"/>
    <x v="3"/>
    <s v="Hard"/>
    <s v="Melee"/>
    <s v="Physical"/>
    <x v="13"/>
  </r>
  <r>
    <x v="17"/>
    <x v="17"/>
    <n v="2946"/>
    <n v="1.96"/>
    <n v="19575"/>
    <n v="81"/>
    <n v="8751"/>
    <n v="1541.9363999999998"/>
    <n v="1404.0636000000002"/>
    <s v="Slavic"/>
    <x v="1"/>
    <s v="Average"/>
    <s v="Ranged"/>
    <s v="Magical"/>
    <x v="14"/>
  </r>
  <r>
    <x v="18"/>
    <x v="18"/>
    <n v="12903"/>
    <n v="2.0699999999999998"/>
    <n v="11672"/>
    <n v="436"/>
    <n v="33573"/>
    <n v="6554.7240000000002"/>
    <n v="6348.2759999999998"/>
    <s v="Roman"/>
    <x v="4"/>
    <s v="Average"/>
    <s v="Melee"/>
    <s v="Magical"/>
    <x v="15"/>
  </r>
  <r>
    <x v="19"/>
    <x v="19"/>
    <n v="8385"/>
    <n v="1.96"/>
    <n v="18209"/>
    <n v="18"/>
    <n v="14526"/>
    <n v="4560.6015000000007"/>
    <n v="3824.3984999999993"/>
    <s v="Hindu"/>
    <x v="3"/>
    <s v="Easy"/>
    <s v="Melee"/>
    <s v="Physical"/>
    <x v="16"/>
  </r>
  <r>
    <x v="20"/>
    <x v="20"/>
    <n v="10711"/>
    <n v="1.67"/>
    <n v="15971"/>
    <n v="2072"/>
    <n v="16508"/>
    <n v="5789.2955000000002"/>
    <n v="4921.7044999999998"/>
    <s v="Voodoo"/>
    <x v="1"/>
    <s v="Hard"/>
    <s v="Ranged"/>
    <s v="Magical"/>
    <x v="17"/>
  </r>
  <r>
    <x v="21"/>
    <x v="3"/>
    <n v="9520"/>
    <n v="2.1"/>
    <n v="17213"/>
    <n v="31"/>
    <n v="10998"/>
    <n v="5010.3760000000002"/>
    <n v="4509.6239999999998"/>
    <s v="Egyptian"/>
    <x v="3"/>
    <s v="Easy"/>
    <s v="Melee"/>
    <s v="Physical"/>
    <x v="1"/>
  </r>
  <r>
    <x v="22"/>
    <x v="21"/>
    <n v="18497"/>
    <n v="1.85"/>
    <n v="16567"/>
    <n v="63"/>
    <n v="29968"/>
    <n v="10062.368"/>
    <n v="8434.6319999999996"/>
    <s v="Roman"/>
    <x v="0"/>
    <s v="Average"/>
    <s v="Melee"/>
    <s v="Physical"/>
    <x v="18"/>
  </r>
  <r>
    <x v="23"/>
    <x v="22"/>
    <n v="8687"/>
    <n v="1.69"/>
    <n v="13883"/>
    <n v="248"/>
    <n v="29974"/>
    <n v="4360.8739999999998"/>
    <n v="4326.1260000000002"/>
    <s v="Maya"/>
    <x v="4"/>
    <s v="Average"/>
    <s v="Melee"/>
    <s v="Magical"/>
    <x v="19"/>
  </r>
  <r>
    <x v="24"/>
    <x v="23"/>
    <n v="4088"/>
    <n v="1.86"/>
    <n v="15760"/>
    <n v="22"/>
    <n v="17771"/>
    <n v="1927.9008000000001"/>
    <n v="2160.0991999999997"/>
    <s v="Maya"/>
    <x v="3"/>
    <s v="Average"/>
    <s v="Melee"/>
    <s v="Physical"/>
    <x v="20"/>
  </r>
  <r>
    <x v="25"/>
    <x v="24"/>
    <n v="7736"/>
    <n v="1.71"/>
    <n v="12045"/>
    <n v="384"/>
    <n v="33038"/>
    <n v="3649.8447999999999"/>
    <n v="4086.1552000000001"/>
    <s v="Greek"/>
    <x v="4"/>
    <s v="Easy"/>
    <s v="Melee"/>
    <s v="Magical"/>
    <x v="21"/>
  </r>
  <r>
    <x v="26"/>
    <x v="25"/>
    <n v="12174"/>
    <n v="1.69"/>
    <n v="18776"/>
    <n v="35"/>
    <n v="8726"/>
    <n v="6448.5677999999998"/>
    <n v="5725.4322000000002"/>
    <s v="Celtic"/>
    <x v="2"/>
    <s v="Average"/>
    <s v="Ranged"/>
    <s v="Physical"/>
    <x v="22"/>
  </r>
  <r>
    <x v="27"/>
    <x v="26"/>
    <n v="12180"/>
    <n v="1.75"/>
    <n v="17348"/>
    <n v="92"/>
    <n v="31049"/>
    <n v="6152.1179999999995"/>
    <n v="6027.8820000000005"/>
    <s v="Maya"/>
    <x v="0"/>
    <s v="Average"/>
    <s v="Melee"/>
    <s v="Physical"/>
    <x v="23"/>
  </r>
  <r>
    <x v="28"/>
    <x v="27"/>
    <n v="6554"/>
    <n v="1.61"/>
    <n v="15998"/>
    <n v="3593"/>
    <n v="11197"/>
    <n v="3448.0594000000001"/>
    <n v="3105.9405999999999"/>
    <s v="Chinese"/>
    <x v="1"/>
    <s v="Average"/>
    <s v="Ranged"/>
    <s v="Magical"/>
    <x v="24"/>
  </r>
  <r>
    <x v="29"/>
    <x v="28"/>
    <n v="10282"/>
    <n v="1.42"/>
    <n v="16771"/>
    <n v="31"/>
    <n v="7746"/>
    <n v="4867.4988000000003"/>
    <n v="5414.5011999999997"/>
    <s v="Greek"/>
    <x v="2"/>
    <s v="Average"/>
    <s v="Ranged"/>
    <s v="Physical"/>
    <x v="25"/>
  </r>
  <r>
    <x v="30"/>
    <x v="29"/>
    <n v="5608"/>
    <n v="1.82"/>
    <n v="18072"/>
    <n v="32"/>
    <n v="8895"/>
    <n v="2986.2599999999998"/>
    <n v="2621.7400000000002"/>
    <s v="Slavic"/>
    <x v="2"/>
    <s v="Hard"/>
    <s v="Ranged"/>
    <s v="Physical"/>
    <x v="26"/>
  </r>
  <r>
    <x v="31"/>
    <x v="30"/>
    <n v="9710"/>
    <n v="1.99"/>
    <n v="18549"/>
    <n v="1132"/>
    <n v="7904"/>
    <n v="5161.8359999999993"/>
    <n v="4548.1640000000007"/>
    <s v="Greek"/>
    <x v="2"/>
    <s v="Easy"/>
    <s v="Ranged"/>
    <s v="Physical"/>
    <x v="27"/>
  </r>
  <r>
    <x v="32"/>
    <x v="31"/>
    <n v="4505"/>
    <n v="1.64"/>
    <n v="17270"/>
    <n v="47"/>
    <n v="9701"/>
    <n v="2339.8969999999999"/>
    <n v="2165.1030000000001"/>
    <s v="Greek"/>
    <x v="1"/>
    <s v="Hard"/>
    <s v="Ranged"/>
    <s v="Magical"/>
    <x v="28"/>
  </r>
  <r>
    <x v="33"/>
    <x v="32"/>
    <n v="17716"/>
    <n v="2.0699999999999998"/>
    <n v="19750"/>
    <n v="23"/>
    <n v="12867"/>
    <n v="9600.3004000000001"/>
    <n v="8115.6995999999999"/>
    <s v="Celtic"/>
    <x v="3"/>
    <s v="Average"/>
    <s v="Melee"/>
    <s v="Physical"/>
    <x v="29"/>
  </r>
  <r>
    <x v="34"/>
    <x v="33"/>
    <n v="10985"/>
    <n v="1.91"/>
    <n v="16001"/>
    <n v="1121"/>
    <n v="32169"/>
    <n v="5501.2880000000005"/>
    <n v="5483.7119999999995"/>
    <s v="Great Old Ones"/>
    <x v="4"/>
    <s v="Average"/>
    <s v="Melee"/>
    <s v="Magical"/>
    <x v="30"/>
  </r>
  <r>
    <x v="35"/>
    <x v="34"/>
    <n v="6588"/>
    <n v="1.61"/>
    <n v="17326"/>
    <n v="68"/>
    <n v="28990"/>
    <n v="3106.2419999999997"/>
    <n v="3481.7580000000003"/>
    <s v="Celtic"/>
    <x v="0"/>
    <s v="Average"/>
    <s v="Melee"/>
    <s v="Physical"/>
    <x v="31"/>
  </r>
  <r>
    <x v="36"/>
    <x v="35"/>
    <n v="7528"/>
    <n v="1.64"/>
    <n v="16982"/>
    <n v="667"/>
    <n v="8268"/>
    <n v="3891.9760000000001"/>
    <n v="3636.0239999999999"/>
    <s v="Roman"/>
    <x v="2"/>
    <s v="Easy"/>
    <s v="Ranged"/>
    <s v="Physical"/>
    <x v="32"/>
  </r>
  <r>
    <x v="37"/>
    <x v="36"/>
    <n v="7187"/>
    <n v="1.82"/>
    <n v="16597"/>
    <n v="21"/>
    <n v="10919"/>
    <n v="3467.7275"/>
    <n v="3719.2725"/>
    <s v="Chinese"/>
    <x v="3"/>
    <s v="Average"/>
    <s v="Melee"/>
    <s v="Physical"/>
    <x v="33"/>
  </r>
  <r>
    <x v="38"/>
    <x v="37"/>
    <n v="12245"/>
    <n v="1.64"/>
    <n v="17345"/>
    <n v="55"/>
    <n v="8627"/>
    <n v="6218.0110000000004"/>
    <n v="6026.9889999999996"/>
    <s v="Japanese"/>
    <x v="2"/>
    <s v="Average"/>
    <s v="Ranged"/>
    <s v="Physical"/>
    <x v="34"/>
  </r>
  <r>
    <x v="39"/>
    <x v="38"/>
    <n v="4130"/>
    <n v="1.54"/>
    <n v="17615"/>
    <n v="101"/>
    <n v="5713"/>
    <n v="2236.808"/>
    <n v="1893.192"/>
    <s v="Roman"/>
    <x v="1"/>
    <s v="Average"/>
    <s v="Ranged"/>
    <s v="Magical"/>
    <x v="35"/>
  </r>
  <r>
    <x v="40"/>
    <x v="39"/>
    <n v="24173"/>
    <n v="1.67"/>
    <n v="16447"/>
    <n v="103"/>
    <n v="29722"/>
    <n v="12432.1739"/>
    <n v="11740.8261"/>
    <s v="Chinese"/>
    <x v="0"/>
    <s v="Average"/>
    <s v="Melee"/>
    <s v="Physical"/>
    <x v="36"/>
  </r>
  <r>
    <x v="41"/>
    <x v="40"/>
    <n v="5855"/>
    <n v="1.58"/>
    <n v="14564"/>
    <n v="1457"/>
    <n v="13921"/>
    <n v="3205.027"/>
    <n v="2649.973"/>
    <s v="Egyptian"/>
    <x v="1"/>
    <s v="Average"/>
    <s v="Ranged"/>
    <s v="Magical"/>
    <x v="37"/>
  </r>
  <r>
    <x v="42"/>
    <x v="41"/>
    <n v="5300"/>
    <n v="2.0699999999999998"/>
    <n v="10036"/>
    <n v="592"/>
    <n v="34687"/>
    <n v="2622.9700000000003"/>
    <n v="2677.0299999999997"/>
    <s v="Norse"/>
    <x v="4"/>
    <s v="Average"/>
    <s v="Melee"/>
    <s v="Magical"/>
    <x v="38"/>
  </r>
  <r>
    <x v="43"/>
    <x v="42"/>
    <n v="11133"/>
    <n v="1.82"/>
    <n v="14647"/>
    <n v="85"/>
    <n v="17058"/>
    <n v="5304.8744999999999"/>
    <n v="5828.1255000000001"/>
    <s v="Norse"/>
    <x v="3"/>
    <s v="Average"/>
    <s v="Melee"/>
    <s v="Physical"/>
    <x v="39"/>
  </r>
  <r>
    <x v="44"/>
    <x v="43"/>
    <n v="3505"/>
    <n v="1.55"/>
    <n v="18002"/>
    <n v="40"/>
    <n v="9761"/>
    <n v="1777.0350000000001"/>
    <n v="1727.9649999999999"/>
    <s v="Norse"/>
    <x v="1"/>
    <s v="Average"/>
    <s v="Melee"/>
    <s v="Magical"/>
    <x v="40"/>
  </r>
  <r>
    <x v="45"/>
    <x v="44"/>
    <n v="7381"/>
    <n v="1.65"/>
    <n v="10035"/>
    <n v="669"/>
    <n v="31995"/>
    <n v="3723.7144999999996"/>
    <n v="3657.2855000000004"/>
    <s v="Hindu"/>
    <x v="4"/>
    <s v="Average"/>
    <s v="Melee"/>
    <s v="Magical"/>
    <x v="41"/>
  </r>
  <r>
    <x v="46"/>
    <x v="17"/>
    <n v="9503"/>
    <n v="1.86"/>
    <n v="11329"/>
    <n v="519"/>
    <n v="30054"/>
    <n v="4973.8701999999994"/>
    <n v="4529.1298000000006"/>
    <s v="Egyptian"/>
    <x v="4"/>
    <s v="Average"/>
    <s v="Melee"/>
    <s v="Magical"/>
    <x v="42"/>
  </r>
  <r>
    <x v="47"/>
    <x v="45"/>
    <n v="17456"/>
    <n v="1.7"/>
    <n v="15877"/>
    <n v="243"/>
    <n v="25162"/>
    <n v="8637.2288000000008"/>
    <n v="8818.7711999999992"/>
    <s v="Babylonian"/>
    <x v="0"/>
    <s v="Average"/>
    <s v="Melee"/>
    <s v="Physical"/>
    <x v="43"/>
  </r>
  <r>
    <x v="48"/>
    <x v="46"/>
    <n v="5864"/>
    <n v="1.83"/>
    <n v="13606"/>
    <n v="2399"/>
    <n v="31218"/>
    <n v="3007.0592000000001"/>
    <n v="2856.9407999999999"/>
    <s v="Chinese"/>
    <x v="0"/>
    <s v="Average"/>
    <s v="Melee"/>
    <s v="Physical"/>
    <x v="44"/>
  </r>
  <r>
    <x v="49"/>
    <x v="47"/>
    <n v="7260"/>
    <n v="1.6"/>
    <n v="17073"/>
    <n v="26"/>
    <n v="7586"/>
    <n v="3431.076"/>
    <n v="3828.924"/>
    <s v="Japanese"/>
    <x v="2"/>
    <s v="Easy"/>
    <s v="Ranged"/>
    <s v="Physical"/>
    <x v="45"/>
  </r>
  <r>
    <x v="50"/>
    <x v="32"/>
    <n v="7462"/>
    <n v="1.83"/>
    <n v="18149"/>
    <n v="757"/>
    <n v="17732"/>
    <n v="4043.6578000000004"/>
    <n v="3418.3421999999996"/>
    <s v="Greek"/>
    <x v="1"/>
    <s v="Easy"/>
    <s v="Ranged"/>
    <s v="Magical"/>
    <x v="1"/>
  </r>
  <r>
    <x v="51"/>
    <x v="48"/>
    <n v="5181"/>
    <n v="1.56"/>
    <n v="17833"/>
    <n v="90"/>
    <n v="6851"/>
    <n v="2485.8438000000001"/>
    <n v="2695.1561999999999"/>
    <s v="Chinese"/>
    <x v="1"/>
    <s v="Easy"/>
    <s v="Ranged"/>
    <s v="Magical"/>
    <x v="1"/>
  </r>
  <r>
    <x v="52"/>
    <x v="49"/>
    <n v="8787"/>
    <n v="1.45"/>
    <n v="17692"/>
    <n v="28"/>
    <n v="8755"/>
    <n v="4149.2214000000004"/>
    <n v="4637.7785999999996"/>
    <s v="Norse"/>
    <x v="2"/>
    <s v="Hard"/>
    <s v="Ranged"/>
    <s v="Physical"/>
    <x v="46"/>
  </r>
  <r>
    <x v="53"/>
    <x v="50"/>
    <n v="4015"/>
    <n v="1.27"/>
    <n v="13802"/>
    <n v="5199"/>
    <n v="11514"/>
    <n v="1822.81"/>
    <n v="2192.19"/>
    <s v="Norse"/>
    <x v="1"/>
    <s v="Hard"/>
    <s v="Ranged"/>
    <s v="Magical"/>
    <x v="1"/>
  </r>
  <r>
    <x v="54"/>
    <x v="51"/>
    <n v="5061"/>
    <n v="1.59"/>
    <n v="19368"/>
    <n v="138"/>
    <n v="6386"/>
    <n v="2676.7629000000002"/>
    <n v="2384.2370999999998"/>
    <s v="Greek"/>
    <x v="1"/>
    <s v="Average"/>
    <s v="Ranged"/>
    <s v="Magical"/>
    <x v="47"/>
  </r>
  <r>
    <x v="55"/>
    <x v="52"/>
    <n v="6915"/>
    <n v="1.86"/>
    <n v="13795"/>
    <n v="192"/>
    <n v="32687"/>
    <n v="3035.6849999999999"/>
    <n v="3879.3150000000001"/>
    <s v="Roman"/>
    <x v="0"/>
    <s v="Easy"/>
    <s v="Melee"/>
    <s v="Physical"/>
    <x v="48"/>
  </r>
  <r>
    <x v="56"/>
    <x v="53"/>
    <n v="12381"/>
    <n v="1.98"/>
    <n v="11321"/>
    <n v="2968"/>
    <n v="28676"/>
    <n v="6377.4530999999997"/>
    <n v="6003.5469000000003"/>
    <s v="Egyptian"/>
    <x v="0"/>
    <s v="Average"/>
    <s v="Melee"/>
    <s v="Physical"/>
    <x v="49"/>
  </r>
  <r>
    <x v="57"/>
    <x v="54"/>
    <n v="10754"/>
    <n v="1.73"/>
    <n v="17017"/>
    <n v="26"/>
    <n v="7988"/>
    <n v="5255.4798000000001"/>
    <n v="5498.5201999999999"/>
    <s v="Chinese"/>
    <x v="2"/>
    <s v="Hard"/>
    <s v="Ranged"/>
    <s v="Physical"/>
    <x v="50"/>
  </r>
  <r>
    <x v="58"/>
    <x v="55"/>
    <n v="4541"/>
    <n v="1.75"/>
    <n v="16072"/>
    <n v="21"/>
    <n v="10364"/>
    <n v="2172.8685"/>
    <n v="2368.1315"/>
    <s v="Maya"/>
    <x v="3"/>
    <s v="Easy"/>
    <s v="Melee"/>
    <s v="Physical"/>
    <x v="1"/>
  </r>
  <r>
    <x v="59"/>
    <x v="56"/>
    <n v="17735"/>
    <n v="1.45"/>
    <n v="17249"/>
    <n v="38"/>
    <n v="7664"/>
    <n v="9108.6959999999999"/>
    <n v="8626.3040000000001"/>
    <s v="Japanese"/>
    <x v="2"/>
    <s v="Average"/>
    <s v="Ranged"/>
    <s v="Physical"/>
    <x v="51"/>
  </r>
  <r>
    <x v="60"/>
    <x v="57"/>
    <n v="8322"/>
    <n v="1.51"/>
    <n v="16298"/>
    <n v="124"/>
    <n v="6046"/>
    <n v="3803.154"/>
    <n v="4518.8459999999995"/>
    <s v="Roman"/>
    <x v="1"/>
    <s v="Average"/>
    <s v="Ranged"/>
    <s v="Magical"/>
    <x v="52"/>
  </r>
  <r>
    <x v="61"/>
    <x v="17"/>
    <n v="6683"/>
    <n v="1.68"/>
    <n v="18129"/>
    <n v="24"/>
    <n v="8318"/>
    <n v="3497.8822"/>
    <n v="3185.1178"/>
    <s v="Chinese"/>
    <x v="2"/>
    <s v="Easy"/>
    <s v="Ranged"/>
    <s v="Physical"/>
    <x v="53"/>
  </r>
  <r>
    <x v="62"/>
    <x v="58"/>
    <n v="11213"/>
    <n v="2.0699999999999998"/>
    <n v="16710"/>
    <n v="311"/>
    <n v="30334"/>
    <n v="5726.4791000000005"/>
    <n v="5486.5208999999995"/>
    <s v="Norse"/>
    <x v="4"/>
    <s v="Average"/>
    <s v="Ranged"/>
    <s v="Magical"/>
    <x v="54"/>
  </r>
  <r>
    <x v="63"/>
    <x v="59"/>
    <n v="7738"/>
    <n v="2.06"/>
    <n v="17167"/>
    <n v="22"/>
    <n v="13965"/>
    <n v="4152.9845999999998"/>
    <n v="3585.0154000000002"/>
    <s v="Hindu"/>
    <x v="3"/>
    <s v="Average"/>
    <s v="Melee"/>
    <s v="Physical"/>
    <x v="1"/>
  </r>
  <r>
    <x v="64"/>
    <x v="60"/>
    <n v="9112"/>
    <n v="1.92"/>
    <n v="7412"/>
    <n v="674"/>
    <n v="28565"/>
    <n v="4955.1055999999999"/>
    <n v="4156.8944000000001"/>
    <s v="Egyptian"/>
    <x v="4"/>
    <s v="Average"/>
    <s v="Melee"/>
    <s v="Magical"/>
    <x v="55"/>
  </r>
  <r>
    <x v="65"/>
    <x v="61"/>
    <n v="10996"/>
    <n v="1.49"/>
    <n v="16175"/>
    <n v="43"/>
    <n v="30185"/>
    <n v="5030.67"/>
    <n v="5965.33"/>
    <s v="Arthurian"/>
    <x v="0"/>
    <s v="Average"/>
    <s v="Melee"/>
    <s v="Physical"/>
    <x v="56"/>
  </r>
  <r>
    <x v="66"/>
    <x v="62"/>
    <n v="7974"/>
    <n v="1.56"/>
    <n v="19629"/>
    <n v="64"/>
    <n v="6932"/>
    <n v="4191.9317999999994"/>
    <n v="3782.0682000000006"/>
    <s v="Maya"/>
    <x v="1"/>
    <s v="Easy"/>
    <s v="Ranged"/>
    <s v="Magical"/>
    <x v="1"/>
  </r>
  <r>
    <x v="67"/>
    <x v="63"/>
    <n v="5620"/>
    <n v="2"/>
    <n v="8070"/>
    <n v="531"/>
    <n v="32145"/>
    <n v="2799.884"/>
    <n v="2820.116"/>
    <s v="Hindu"/>
    <x v="4"/>
    <s v="Easy"/>
    <s v="Melee"/>
    <s v="Magical"/>
    <x v="57"/>
  </r>
  <r>
    <x v="68"/>
    <x v="64"/>
    <n v="3360"/>
    <n v="1.9"/>
    <n v="12836"/>
    <n v="485"/>
    <n v="39891"/>
    <n v="1607.088"/>
    <n v="1752.912"/>
    <s v="Japanese"/>
    <x v="4"/>
    <s v="Easy"/>
    <s v="Melee"/>
    <s v="Magical"/>
    <x v="58"/>
  </r>
  <r>
    <x v="69"/>
    <x v="65"/>
    <n v="16443"/>
    <n v="1.93"/>
    <n v="15985"/>
    <n v="22"/>
    <n v="10144"/>
    <n v="8280.6948000000011"/>
    <n v="8162.3051999999989"/>
    <s v="Norse"/>
    <x v="3"/>
    <s v="Easy"/>
    <s v="Melee"/>
    <s v="Physical"/>
    <x v="59"/>
  </r>
  <r>
    <x v="70"/>
    <x v="66"/>
    <n v="17003"/>
    <n v="1.61"/>
    <n v="17212"/>
    <n v="42"/>
    <n v="8100"/>
    <n v="8663.0284999999985"/>
    <n v="8339.9715000000015"/>
    <s v="Greek"/>
    <x v="2"/>
    <s v="Easy"/>
    <s v="Ranged"/>
    <s v="Physical"/>
    <x v="60"/>
  </r>
  <r>
    <x v="71"/>
    <x v="4"/>
    <n v="10952"/>
    <n v="1.89"/>
    <n v="15829"/>
    <n v="21"/>
    <n v="9766"/>
    <n v="5853.8440000000001"/>
    <n v="5098.1559999999999"/>
    <s v="Roman"/>
    <x v="3"/>
    <s v="Average"/>
    <s v="Melee"/>
    <s v="Physical"/>
    <x v="61"/>
  </r>
  <r>
    <x v="72"/>
    <x v="67"/>
    <n v="6444"/>
    <n v="1.54"/>
    <n v="18446"/>
    <n v="121"/>
    <n v="6648"/>
    <n v="3222"/>
    <n v="3222"/>
    <s v="Arthurian"/>
    <x v="1"/>
    <s v="Hard"/>
    <s v="Ranged"/>
    <s v="Magical"/>
    <x v="62"/>
  </r>
  <r>
    <x v="73"/>
    <x v="68"/>
    <n v="8477"/>
    <n v="1.68"/>
    <n v="19491"/>
    <n v="187"/>
    <n v="8463"/>
    <n v="4318.1837999999998"/>
    <n v="4158.8162000000002"/>
    <s v="Arthurian"/>
    <x v="1"/>
    <s v="Average"/>
    <s v="Ranged"/>
    <s v="Magical"/>
    <x v="63"/>
  </r>
  <r>
    <x v="74"/>
    <x v="69"/>
    <n v="10592"/>
    <n v="1.63"/>
    <n v="17497"/>
    <n v="104"/>
    <n v="29509"/>
    <n v="5434.7551999999996"/>
    <n v="5157.2448000000004"/>
    <s v="Chinese"/>
    <x v="0"/>
    <s v="Average"/>
    <s v="Melee"/>
    <s v="Physical"/>
    <x v="64"/>
  </r>
  <r>
    <x v="75"/>
    <x v="70"/>
    <n v="5941"/>
    <n v="1.56"/>
    <n v="15041"/>
    <n v="71"/>
    <n v="13681"/>
    <n v="2744.7420000000002"/>
    <n v="3196.2579999999998"/>
    <s v="Chinese"/>
    <x v="3"/>
    <s v="Average"/>
    <s v="Melee"/>
    <s v="Physical"/>
    <x v="65"/>
  </r>
  <r>
    <x v="76"/>
    <x v="71"/>
    <n v="20277"/>
    <n v="1.69"/>
    <n v="17705"/>
    <n v="55"/>
    <n v="7682"/>
    <n v="10059.4197"/>
    <n v="10217.5803"/>
    <s v="Egyptian"/>
    <x v="2"/>
    <s v="Easy"/>
    <s v="Ranged"/>
    <s v="Physical"/>
    <x v="66"/>
  </r>
  <r>
    <x v="77"/>
    <x v="72"/>
    <n v="8917"/>
    <n v="1.96"/>
    <n v="16265"/>
    <n v="22"/>
    <n v="13139"/>
    <n v="4413.915"/>
    <n v="4503.085"/>
    <s v="Greek"/>
    <x v="3"/>
    <s v="Average"/>
    <s v="Melee"/>
    <s v="Physical"/>
    <x v="67"/>
  </r>
  <r>
    <x v="78"/>
    <x v="73"/>
    <n v="5288"/>
    <n v="1.68"/>
    <n v="14331"/>
    <n v="150"/>
    <n v="25160"/>
    <n v="2641.8847999999998"/>
    <n v="2646.1152000000002"/>
    <s v="Greek"/>
    <x v="0"/>
    <s v="Easy"/>
    <s v="Melee"/>
    <s v="Physical"/>
    <x v="68"/>
  </r>
  <r>
    <x v="79"/>
    <x v="74"/>
    <n v="4836"/>
    <n v="1.79"/>
    <n v="12459"/>
    <n v="279"/>
    <n v="13882"/>
    <n v="2339.1732000000002"/>
    <n v="2496.8267999999998"/>
    <s v="Roman"/>
    <x v="1"/>
    <s v="Average"/>
    <s v="Ranged"/>
    <s v="Magical"/>
    <x v="69"/>
  </r>
  <r>
    <x v="80"/>
    <x v="75"/>
    <n v="10382"/>
    <n v="1.76"/>
    <n v="24012"/>
    <n v="169"/>
    <n v="6133"/>
    <n v="5714.2528000000002"/>
    <n v="4667.7471999999998"/>
    <s v="Chinese"/>
    <x v="1"/>
    <s v="Easy"/>
    <s v="Ranged"/>
    <s v="Magical"/>
    <x v="70"/>
  </r>
  <r>
    <x v="81"/>
    <x v="76"/>
    <n v="4341"/>
    <n v="1.96"/>
    <n v="12266"/>
    <n v="157"/>
    <n v="24034"/>
    <n v="2193.0731999999998"/>
    <n v="2147.9268000000002"/>
    <s v="Norse"/>
    <x v="0"/>
    <s v="Easy"/>
    <s v="Melee"/>
    <s v="Physical"/>
    <x v="1"/>
  </r>
  <r>
    <x v="82"/>
    <x v="77"/>
    <n v="4163"/>
    <n v="1.36"/>
    <n v="15629"/>
    <n v="1119"/>
    <n v="9406"/>
    <n v="2101.0661"/>
    <n v="2061.9339"/>
    <s v="Yoruba"/>
    <x v="1"/>
    <s v="Average"/>
    <s v="Ranged"/>
    <s v="Magical"/>
    <x v="71"/>
  </r>
  <r>
    <x v="83"/>
    <x v="78"/>
    <n v="7394"/>
    <n v="1.69"/>
    <n v="15577"/>
    <n v="64"/>
    <n v="30859"/>
    <n v="3671.8604"/>
    <n v="3722.1396"/>
    <s v="Egyptian"/>
    <x v="0"/>
    <s v="Hard"/>
    <s v="Melee"/>
    <s v="Physical"/>
    <x v="72"/>
  </r>
  <r>
    <x v="84"/>
    <x v="79"/>
    <n v="6804"/>
    <n v="1.81"/>
    <n v="17519"/>
    <n v="29"/>
    <n v="12829"/>
    <n v="3442.1436000000003"/>
    <n v="3361.8563999999997"/>
    <s v="Polynesian"/>
    <x v="3"/>
    <s v="Average"/>
    <s v="Melee"/>
    <s v="Physical"/>
    <x v="73"/>
  </r>
  <r>
    <x v="85"/>
    <x v="80"/>
    <n v="10027"/>
    <n v="1.6"/>
    <n v="18569"/>
    <n v="110"/>
    <n v="6388"/>
    <n v="5066.6430999999993"/>
    <n v="4960.3569000000007"/>
    <s v="Greek"/>
    <x v="1"/>
    <s v="Hard"/>
    <s v="Ranged"/>
    <s v="Magical"/>
    <x v="74"/>
  </r>
  <r>
    <x v="86"/>
    <x v="81"/>
    <n v="11673"/>
    <n v="1.6"/>
    <n v="18721"/>
    <n v="66"/>
    <n v="6573"/>
    <n v="6246.2223000000004"/>
    <n v="5426.7776999999996"/>
    <s v="Greek"/>
    <x v="1"/>
    <s v="Easy"/>
    <s v="Ranged"/>
    <s v="Magical"/>
    <x v="75"/>
  </r>
  <r>
    <x v="87"/>
    <x v="82"/>
    <n v="8216"/>
    <n v="1.53"/>
    <n v="15875"/>
    <n v="3066"/>
    <n v="8542"/>
    <n v="4166.3335999999999"/>
    <n v="4049.6664000000001"/>
    <s v="Egyptian"/>
    <x v="1"/>
    <s v="Average"/>
    <s v="Ranged"/>
    <s v="Magical"/>
    <x v="1"/>
  </r>
  <r>
    <x v="88"/>
    <x v="83"/>
    <n v="1681"/>
    <n v="1.44"/>
    <n v="15893"/>
    <n v="89"/>
    <n v="7552"/>
    <n v="809.06529999999998"/>
    <n v="871.93470000000002"/>
    <s v="Japanese"/>
    <x v="1"/>
    <s v="Average"/>
    <s v="Ranged"/>
    <s v="Magical"/>
    <x v="76"/>
  </r>
  <r>
    <x v="89"/>
    <x v="84"/>
    <n v="7081"/>
    <n v="1.61"/>
    <n v="17669"/>
    <n v="12"/>
    <n v="7923"/>
    <n v="3580.8617000000004"/>
    <n v="3500.1382999999996"/>
    <s v="Hindu"/>
    <x v="2"/>
    <s v="Average"/>
    <s v="Ranged"/>
    <s v="Physical"/>
    <x v="77"/>
  </r>
  <r>
    <x v="90"/>
    <x v="85"/>
    <n v="6476"/>
    <n v="1.76"/>
    <n v="15123"/>
    <n v="57"/>
    <n v="13404"/>
    <n v="3050.8436000000002"/>
    <n v="3425.1563999999998"/>
    <s v="Norse"/>
    <x v="3"/>
    <s v="Easy"/>
    <s v="Melee"/>
    <s v="Physical"/>
    <x v="78"/>
  </r>
  <r>
    <x v="91"/>
    <x v="86"/>
    <n v="8468"/>
    <n v="1.91"/>
    <n v="15243"/>
    <n v="23"/>
    <n v="11955"/>
    <n v="4046.8571999999999"/>
    <n v="4421.1427999999996"/>
    <s v="Hindu"/>
    <x v="3"/>
    <s v="Average"/>
    <s v="Melee"/>
    <s v="Physical"/>
    <x v="79"/>
  </r>
  <r>
    <x v="92"/>
    <x v="87"/>
    <n v="7829"/>
    <n v="1.77"/>
    <n v="17295"/>
    <n v="59"/>
    <n v="5712"/>
    <n v="4013.9283000000005"/>
    <n v="3815.0716999999995"/>
    <s v="Greek"/>
    <x v="1"/>
    <s v="Easy"/>
    <s v="Ranged"/>
    <s v="Magical"/>
    <x v="80"/>
  </r>
  <r>
    <x v="93"/>
    <x v="88"/>
    <n v="3551"/>
    <n v="1.55"/>
    <n v="12492"/>
    <n v="73"/>
    <n v="13077"/>
    <n v="1453.0692000000001"/>
    <n v="2097.9308000000001"/>
    <s v="Egyptian"/>
    <x v="3"/>
    <s v="Average"/>
    <s v="Melee"/>
    <s v="Physical"/>
    <x v="81"/>
  </r>
  <r>
    <x v="94"/>
    <x v="89"/>
    <n v="4959"/>
    <n v="1.68"/>
    <n v="15706"/>
    <n v="23"/>
    <n v="16642"/>
    <n v="2327.7545999999998"/>
    <n v="2631.2454000000002"/>
    <s v="Egyptian"/>
    <x v="3"/>
    <s v="Average"/>
    <s v="Melee"/>
    <s v="Physical"/>
    <x v="49"/>
  </r>
  <r>
    <x v="95"/>
    <x v="90"/>
    <n v="17032"/>
    <n v="2.02"/>
    <n v="17322"/>
    <n v="819"/>
    <n v="29074"/>
    <n v="9129.152"/>
    <n v="7902.848"/>
    <s v="Hindu"/>
    <x v="0"/>
    <s v="Average"/>
    <s v="Melee"/>
    <s v="Physical"/>
    <x v="82"/>
  </r>
  <r>
    <x v="96"/>
    <x v="91"/>
    <n v="12912"/>
    <n v="1.6"/>
    <n v="18504"/>
    <n v="53"/>
    <n v="7198"/>
    <n v="6821.4096"/>
    <n v="6090.5904"/>
    <s v="Norse"/>
    <x v="2"/>
    <s v="Hard"/>
    <s v="Ranged"/>
    <s v="Physical"/>
    <x v="83"/>
  </r>
  <r>
    <x v="97"/>
    <x v="92"/>
    <n v="10847"/>
    <n v="1.86"/>
    <n v="10519"/>
    <n v="444"/>
    <n v="37773"/>
    <n v="5131.7157000000007"/>
    <n v="5715.2842999999993"/>
    <s v="Egyptian"/>
    <x v="4"/>
    <s v="Easy"/>
    <s v="Melee"/>
    <s v="Magical"/>
    <x v="1"/>
  </r>
  <r>
    <x v="98"/>
    <x v="93"/>
    <n v="8060"/>
    <n v="1.43"/>
    <n v="17532"/>
    <n v="47"/>
    <n v="7663"/>
    <n v="3967.9380000000001"/>
    <n v="4092.0619999999999"/>
    <s v="Norse"/>
    <x v="1"/>
    <s v="Hard"/>
    <s v="Ranged"/>
    <s v="Magical"/>
    <x v="84"/>
  </r>
  <r>
    <x v="99"/>
    <x v="94"/>
    <n v="8274"/>
    <n v="2.09"/>
    <n v="16329"/>
    <n v="64"/>
    <n v="26887"/>
    <n v="4204.8468000000003"/>
    <n v="4069.1531999999997"/>
    <s v="Chinese"/>
    <x v="0"/>
    <s v="Average"/>
    <s v="Melee"/>
    <s v="Physical"/>
    <x v="85"/>
  </r>
  <r>
    <x v="100"/>
    <x v="95"/>
    <n v="6835"/>
    <n v="1.88"/>
    <n v="17663"/>
    <n v="14"/>
    <n v="10588"/>
    <n v="3276.0155"/>
    <n v="3558.9845"/>
    <s v="Japanese"/>
    <x v="3"/>
    <s v="Hard"/>
    <s v="Melee"/>
    <s v="Physical"/>
    <x v="86"/>
  </r>
  <r>
    <x v="101"/>
    <x v="96"/>
    <n v="12166"/>
    <n v="1.62"/>
    <n v="11894"/>
    <n v="3517"/>
    <n v="30092"/>
    <n v="6110.9817999999996"/>
    <n v="6055.0182000000004"/>
    <s v="Roman"/>
    <x v="4"/>
    <s v="Average"/>
    <s v="Ranged"/>
    <s v="Magical"/>
    <x v="87"/>
  </r>
  <r>
    <x v="102"/>
    <x v="68"/>
    <n v="3610"/>
    <n v="1.94"/>
    <n v="9658"/>
    <n v="3487"/>
    <n v="32498"/>
    <n v="1838.934"/>
    <n v="1771.066"/>
    <s v="Roman"/>
    <x v="4"/>
    <s v="Hard"/>
    <s v="Melee"/>
    <s v="Magical"/>
    <x v="88"/>
  </r>
  <r>
    <x v="103"/>
    <x v="97"/>
    <n v="16095"/>
    <n v="1.75"/>
    <n v="15721"/>
    <n v="20"/>
    <n v="11027"/>
    <n v="7796.4179999999997"/>
    <n v="8298.5820000000003"/>
    <s v="Greek"/>
    <x v="3"/>
    <s v="Average"/>
    <s v="Melee"/>
    <s v="Physical"/>
    <x v="89"/>
  </r>
  <r>
    <x v="104"/>
    <x v="98"/>
    <n v="4661"/>
    <n v="1.56"/>
    <n v="15865"/>
    <n v="102"/>
    <n v="6499"/>
    <n v="2225.1614"/>
    <n v="2435.8386"/>
    <s v="Celtic"/>
    <x v="1"/>
    <s v="Very Hard"/>
    <s v="Ranged"/>
    <s v="Magical"/>
    <x v="90"/>
  </r>
  <r>
    <x v="105"/>
    <x v="99"/>
    <n v="7566"/>
    <n v="1.78"/>
    <n v="14672"/>
    <n v="29"/>
    <n v="11619"/>
    <n v="3456.1487999999999"/>
    <n v="4109.8512000000001"/>
    <s v="Norse"/>
    <x v="3"/>
    <s v="Hard"/>
    <s v="Melee"/>
    <s v="Physical"/>
    <x v="91"/>
  </r>
  <r>
    <x v="106"/>
    <x v="100"/>
    <n v="5435"/>
    <n v="1.36"/>
    <n v="15616"/>
    <n v="53"/>
    <n v="5570"/>
    <n v="2382.1605"/>
    <n v="3052.8395"/>
    <s v="Egyptian"/>
    <x v="1"/>
    <s v="Average"/>
    <s v="Ranged"/>
    <s v="Magical"/>
    <x v="92"/>
  </r>
  <r>
    <x v="107"/>
    <x v="101"/>
    <n v="6812"/>
    <n v="1.54"/>
    <n v="17516"/>
    <n v="148"/>
    <n v="14226"/>
    <n v="3247.2804000000001"/>
    <n v="3564.7195999999999"/>
    <s v="Babylonian"/>
    <x v="1"/>
    <s v="Hard"/>
    <s v="Ranged"/>
    <s v="Magical"/>
    <x v="93"/>
  </r>
  <r>
    <x v="108"/>
    <x v="102"/>
    <n v="8888"/>
    <n v="1.65"/>
    <n v="18798"/>
    <n v="23"/>
    <n v="12219"/>
    <n v="4509.7711999999992"/>
    <n v="4378.2288000000008"/>
    <s v="Japanese"/>
    <x v="3"/>
    <s v="Average"/>
    <s v="Melee"/>
    <s v="Physical"/>
    <x v="94"/>
  </r>
  <r>
    <x v="109"/>
    <x v="103"/>
    <n v="9400"/>
    <n v="1.79"/>
    <n v="14863"/>
    <n v="58"/>
    <n v="30278"/>
    <n v="4353.1400000000003"/>
    <n v="5046.8599999999997"/>
    <s v="Norse"/>
    <x v="0"/>
    <s v="Hard"/>
    <s v="Melee"/>
    <s v="Physical"/>
    <x v="95"/>
  </r>
  <r>
    <x v="110"/>
    <x v="104"/>
    <n v="15960"/>
    <n v="1.67"/>
    <n v="15963"/>
    <n v="14"/>
    <n v="8255"/>
    <n v="7510.7759999999998"/>
    <n v="8449.2240000000002"/>
    <s v="Norse"/>
    <x v="2"/>
    <s v="Hard"/>
    <s v="Ranged"/>
    <s v="Physical"/>
    <x v="96"/>
  </r>
  <r>
    <x v="111"/>
    <x v="105"/>
    <n v="5546"/>
    <n v="1.96"/>
    <n v="18301"/>
    <n v="85"/>
    <n v="30570"/>
    <n v="3004.2682"/>
    <n v="2541.7318"/>
    <s v="Hindu"/>
    <x v="0"/>
    <s v="Average"/>
    <s v="Melee"/>
    <s v="Physical"/>
    <x v="1"/>
  </r>
  <r>
    <x v="112"/>
    <x v="106"/>
    <n v="5603"/>
    <n v="1.5"/>
    <n v="20739"/>
    <n v="74"/>
    <n v="6583"/>
    <n v="2883.8641000000002"/>
    <n v="2719.1358999999998"/>
    <s v="Roman"/>
    <x v="1"/>
    <s v="Average"/>
    <s v="Ranged"/>
    <s v="Magical"/>
    <x v="97"/>
  </r>
  <r>
    <x v="113"/>
    <x v="75"/>
    <n v="7693"/>
    <n v="1.7"/>
    <n v="19638"/>
    <n v="30"/>
    <n v="8084"/>
    <n v="4234.2272000000003"/>
    <n v="3458.7727999999997"/>
    <s v="Maya"/>
    <x v="2"/>
    <s v="Average"/>
    <s v="Ranged"/>
    <s v="Physical"/>
    <x v="98"/>
  </r>
  <r>
    <x v="114"/>
    <x v="107"/>
    <n v="6035"/>
    <n v="2.23"/>
    <n v="12135"/>
    <n v="489"/>
    <n v="33695"/>
    <n v="3190.1009999999997"/>
    <n v="2844.8990000000003"/>
    <s v="Chinese"/>
    <x v="4"/>
    <s v="Average"/>
    <s v="Melee"/>
    <s v="Magical"/>
    <x v="99"/>
  </r>
  <r>
    <x v="115"/>
    <x v="108"/>
    <n v="5934"/>
    <n v="1.89"/>
    <n v="8160"/>
    <n v="4603"/>
    <n v="26152"/>
    <n v="2797.2876000000001"/>
    <n v="3136.7123999999999"/>
    <s v="Yoruba"/>
    <x v="4"/>
    <s v="Average"/>
    <s v="Ranged"/>
    <s v="Magical"/>
    <x v="100"/>
  </r>
  <r>
    <x v="116"/>
    <x v="109"/>
    <n v="19262"/>
    <n v="1.71"/>
    <n v="10366"/>
    <n v="406"/>
    <n v="29738"/>
    <n v="9783.1697999999997"/>
    <n v="9478.8302000000003"/>
    <s v="Norse"/>
    <x v="4"/>
    <s v="Easy"/>
    <s v="Melee"/>
    <s v="Magical"/>
    <x v="1"/>
  </r>
  <r>
    <x v="117"/>
    <x v="110"/>
    <n v="78602"/>
    <n v="1.4"/>
    <n v="16226"/>
    <n v="99"/>
    <n v="7452"/>
    <n v="35418.061199999996"/>
    <n v="43183.938800000004"/>
    <s v="Chinese"/>
    <x v="1"/>
    <s v="Average"/>
    <s v="Ranged"/>
    <s v="Magical"/>
    <x v="101"/>
  </r>
  <r>
    <x v="118"/>
    <x v="111"/>
    <n v="9614"/>
    <n v="1.54"/>
    <n v="21388"/>
    <n v="75"/>
    <n v="6763"/>
    <n v="5125.2233999999999"/>
    <n v="4488.7766000000001"/>
    <s v="Greek"/>
    <x v="1"/>
    <s v="Average"/>
    <s v="Ranged"/>
    <s v="Magical"/>
    <x v="1"/>
  </r>
  <r>
    <x v="119"/>
    <x v="96"/>
    <n v="5839"/>
    <n v="1.61"/>
    <n v="19287"/>
    <n v="109"/>
    <n v="19582"/>
    <n v="2932.9296999999997"/>
    <n v="2906.0703000000003"/>
    <s v="Chinese"/>
    <x v="1"/>
    <s v="Easy"/>
    <s v="Ranged"/>
    <s v="Magical"/>
    <x v="1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626132-E5AA-46C0-907F-432097C81549}" name="PivotTable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
  <location ref="A3:M12" firstHeaderRow="1" firstDataRow="4" firstDataCol="1"/>
  <pivotFields count="17">
    <pivotField axis="axisRow"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dataField="1" showAll="0">
      <items count="113">
        <item x="88"/>
        <item x="100"/>
        <item x="52"/>
        <item x="110"/>
        <item x="50"/>
        <item x="99"/>
        <item x="57"/>
        <item x="61"/>
        <item x="5"/>
        <item x="70"/>
        <item x="103"/>
        <item x="0"/>
        <item x="89"/>
        <item x="104"/>
        <item x="85"/>
        <item x="108"/>
        <item x="34"/>
        <item x="23"/>
        <item x="24"/>
        <item x="49"/>
        <item x="47"/>
        <item x="92"/>
        <item x="28"/>
        <item x="42"/>
        <item x="101"/>
        <item x="98"/>
        <item x="86"/>
        <item x="64"/>
        <item x="55"/>
        <item x="95"/>
        <item x="48"/>
        <item x="83"/>
        <item x="36"/>
        <item x="74"/>
        <item x="97"/>
        <item x="54"/>
        <item x="16"/>
        <item x="93"/>
        <item x="7"/>
        <item x="45"/>
        <item x="41"/>
        <item x="72"/>
        <item x="14"/>
        <item x="71"/>
        <item x="78"/>
        <item x="13"/>
        <item x="63"/>
        <item x="8"/>
        <item x="73"/>
        <item x="67"/>
        <item x="33"/>
        <item x="22"/>
        <item x="96"/>
        <item x="65"/>
        <item x="44"/>
        <item x="77"/>
        <item x="26"/>
        <item x="76"/>
        <item x="80"/>
        <item x="84"/>
        <item x="79"/>
        <item x="43"/>
        <item x="82"/>
        <item x="102"/>
        <item x="37"/>
        <item x="109"/>
        <item x="18"/>
        <item x="94"/>
        <item x="68"/>
        <item x="66"/>
        <item x="9"/>
        <item x="2"/>
        <item x="58"/>
        <item x="15"/>
        <item x="87"/>
        <item x="46"/>
        <item x="69"/>
        <item x="56"/>
        <item x="39"/>
        <item x="106"/>
        <item x="53"/>
        <item x="11"/>
        <item x="35"/>
        <item x="31"/>
        <item x="17"/>
        <item x="62"/>
        <item x="27"/>
        <item x="3"/>
        <item x="6"/>
        <item x="91"/>
        <item x="107"/>
        <item x="51"/>
        <item x="25"/>
        <item x="1"/>
        <item x="30"/>
        <item x="29"/>
        <item x="111"/>
        <item x="4"/>
        <item x="81"/>
        <item x="90"/>
        <item x="59"/>
        <item x="20"/>
        <item x="38"/>
        <item x="105"/>
        <item x="32"/>
        <item x="12"/>
        <item x="60"/>
        <item x="19"/>
        <item x="21"/>
        <item x="40"/>
        <item x="75"/>
        <item x="10"/>
        <item t="default"/>
      </items>
    </pivotField>
    <pivotField showAll="0"/>
    <pivotField showAll="0"/>
    <pivotField showAll="0"/>
    <pivotField showAll="0"/>
    <pivotField showAll="0"/>
    <pivotField numFmtId="1" showAll="0"/>
    <pivotField numFmtId="1" showAll="0"/>
    <pivotField showAll="0"/>
    <pivotField axis="axisRow" showAll="0">
      <items count="6">
        <item sd="0" x="3"/>
        <item sd="0" x="4"/>
        <item sd="0" x="2"/>
        <item sd="0" x="1"/>
        <item sd="0" x="0"/>
        <item t="default"/>
      </items>
    </pivotField>
    <pivotField showAll="0"/>
    <pivotField showAll="0"/>
    <pivotField showAll="0"/>
    <pivotField axis="axisCol" numFmtId="14" showAll="0">
      <items count="15">
        <item x="0"/>
        <item x="1"/>
        <item x="2"/>
        <item x="3"/>
        <item x="4"/>
        <item x="5"/>
        <item x="6"/>
        <item x="7"/>
        <item x="8"/>
        <item x="9"/>
        <item x="10"/>
        <item x="11"/>
        <item x="12"/>
        <item x="13"/>
        <item t="default"/>
      </items>
    </pivotField>
    <pivotField axis="axisCol" showAll="0">
      <items count="7">
        <item sd="0" x="0"/>
        <item sd="0" x="1"/>
        <item sd="0" x="2"/>
        <item sd="0" x="3"/>
        <item sd="0" x="4"/>
        <item sd="0" x="5"/>
        <item t="default"/>
      </items>
    </pivotField>
    <pivotField axis="axisCol" showAll="0">
      <items count="14">
        <item sd="0" x="0"/>
        <item sd="0" x="1"/>
        <item sd="0" x="2"/>
        <item sd="0" x="3"/>
        <item sd="0" x="4"/>
        <item sd="0" x="5"/>
        <item sd="0" x="6"/>
        <item sd="0" x="7"/>
        <item sd="0" x="8"/>
        <item sd="0" x="9"/>
        <item sd="0" x="10"/>
        <item sd="0" x="11"/>
        <item sd="0" x="12"/>
        <item t="default"/>
      </items>
    </pivotField>
  </pivotFields>
  <rowFields count="2">
    <field x="10"/>
    <field x="0"/>
  </rowFields>
  <rowItems count="6">
    <i>
      <x/>
    </i>
    <i>
      <x v="1"/>
    </i>
    <i>
      <x v="2"/>
    </i>
    <i>
      <x v="3"/>
    </i>
    <i>
      <x v="4"/>
    </i>
    <i t="grand">
      <x/>
    </i>
  </rowItems>
  <colFields count="3">
    <field x="16"/>
    <field x="14"/>
    <field x="15"/>
  </colFields>
  <colItems count="12">
    <i>
      <x v="1"/>
    </i>
    <i>
      <x v="2"/>
    </i>
    <i>
      <x v="3"/>
    </i>
    <i>
      <x v="4"/>
    </i>
    <i>
      <x v="5"/>
    </i>
    <i>
      <x v="6"/>
    </i>
    <i>
      <x v="7"/>
    </i>
    <i>
      <x v="8"/>
    </i>
    <i>
      <x v="9"/>
    </i>
    <i>
      <x v="10"/>
    </i>
    <i>
      <x v="11"/>
    </i>
    <i t="grand">
      <x/>
    </i>
  </colItems>
  <dataFields count="1">
    <dataField name="Average of WIN RATE" fld="1" subtotal="average" baseField="10" baseItem="3"/>
  </dataFields>
  <formats count="6">
    <format dxfId="35">
      <pivotArea collapsedLevelsAreSubtotals="1" fieldPosition="0">
        <references count="1">
          <reference field="10" count="1">
            <x v="0"/>
          </reference>
        </references>
      </pivotArea>
    </format>
    <format dxfId="34">
      <pivotArea collapsedLevelsAreSubtotals="1" fieldPosition="0">
        <references count="1">
          <reference field="10" count="1">
            <x v="1"/>
          </reference>
        </references>
      </pivotArea>
    </format>
    <format dxfId="33">
      <pivotArea collapsedLevelsAreSubtotals="1" fieldPosition="0">
        <references count="1">
          <reference field="10" count="1">
            <x v="2"/>
          </reference>
        </references>
      </pivotArea>
    </format>
    <format dxfId="32">
      <pivotArea collapsedLevelsAreSubtotals="1" fieldPosition="0">
        <references count="1">
          <reference field="10" count="1">
            <x v="3"/>
          </reference>
        </references>
      </pivotArea>
    </format>
    <format dxfId="31">
      <pivotArea collapsedLevelsAreSubtotals="1" fieldPosition="0">
        <references count="1">
          <reference field="10" count="1">
            <x v="4"/>
          </reference>
        </references>
      </pivotArea>
    </format>
    <format dxfId="30">
      <pivotArea grandRow="1" outline="0" collapsedLevelsAreSubtotals="1" fieldPosition="0"/>
    </format>
  </formats>
  <chartFormats count="14">
    <chartFormat chart="0" format="0" series="1">
      <pivotArea type="data" outline="0" fieldPosition="0">
        <references count="2">
          <reference field="4294967294" count="1" selected="0">
            <x v="0"/>
          </reference>
          <reference field="16" count="1" selected="0">
            <x v="1"/>
          </reference>
        </references>
      </pivotArea>
    </chartFormat>
    <chartFormat chart="0" format="1" series="1">
      <pivotArea type="data" outline="0" fieldPosition="0">
        <references count="2">
          <reference field="4294967294" count="1" selected="0">
            <x v="0"/>
          </reference>
          <reference field="16" count="1" selected="0">
            <x v="2"/>
          </reference>
        </references>
      </pivotArea>
    </chartFormat>
    <chartFormat chart="0" format="2" series="1">
      <pivotArea type="data" outline="0" fieldPosition="0">
        <references count="2">
          <reference field="4294967294" count="1" selected="0">
            <x v="0"/>
          </reference>
          <reference field="16" count="1" selected="0">
            <x v="3"/>
          </reference>
        </references>
      </pivotArea>
    </chartFormat>
    <chartFormat chart="0" format="3" series="1">
      <pivotArea type="data" outline="0" fieldPosition="0">
        <references count="2">
          <reference field="4294967294" count="1" selected="0">
            <x v="0"/>
          </reference>
          <reference field="16" count="1" selected="0">
            <x v="4"/>
          </reference>
        </references>
      </pivotArea>
    </chartFormat>
    <chartFormat chart="0" format="4" series="1">
      <pivotArea type="data" outline="0" fieldPosition="0">
        <references count="2">
          <reference field="4294967294" count="1" selected="0">
            <x v="0"/>
          </reference>
          <reference field="16" count="1" selected="0">
            <x v="5"/>
          </reference>
        </references>
      </pivotArea>
    </chartFormat>
    <chartFormat chart="0" format="5" series="1">
      <pivotArea type="data" outline="0" fieldPosition="0">
        <references count="2">
          <reference field="4294967294" count="1" selected="0">
            <x v="0"/>
          </reference>
          <reference field="16" count="1" selected="0">
            <x v="6"/>
          </reference>
        </references>
      </pivotArea>
    </chartFormat>
    <chartFormat chart="0" format="6" series="1">
      <pivotArea type="data" outline="0" fieldPosition="0">
        <references count="2">
          <reference field="4294967294" count="1" selected="0">
            <x v="0"/>
          </reference>
          <reference field="16" count="1" selected="0">
            <x v="7"/>
          </reference>
        </references>
      </pivotArea>
    </chartFormat>
    <chartFormat chart="0" format="7" series="1">
      <pivotArea type="data" outline="0" fieldPosition="0">
        <references count="2">
          <reference field="4294967294" count="1" selected="0">
            <x v="0"/>
          </reference>
          <reference field="16" count="1" selected="0">
            <x v="8"/>
          </reference>
        </references>
      </pivotArea>
    </chartFormat>
    <chartFormat chart="0" format="8" series="1">
      <pivotArea type="data" outline="0" fieldPosition="0">
        <references count="2">
          <reference field="4294967294" count="1" selected="0">
            <x v="0"/>
          </reference>
          <reference field="16" count="1" selected="0">
            <x v="9"/>
          </reference>
        </references>
      </pivotArea>
    </chartFormat>
    <chartFormat chart="0" format="9" series="1">
      <pivotArea type="data" outline="0" fieldPosition="0">
        <references count="2">
          <reference field="4294967294" count="1" selected="0">
            <x v="0"/>
          </reference>
          <reference field="16" count="1" selected="0">
            <x v="10"/>
          </reference>
        </references>
      </pivotArea>
    </chartFormat>
    <chartFormat chart="0" format="10" series="1">
      <pivotArea type="data" outline="0" fieldPosition="0">
        <references count="2">
          <reference field="4294967294" count="1" selected="0">
            <x v="0"/>
          </reference>
          <reference field="16" count="1" selected="0">
            <x v="11"/>
          </reference>
        </references>
      </pivotArea>
    </chartFormat>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4">
          <reference field="4294967294" count="1" selected="0">
            <x v="0"/>
          </reference>
          <reference field="14" count="1" selected="0">
            <x v="11"/>
          </reference>
          <reference field="15" count="1" selected="0">
            <x v="4"/>
          </reference>
          <reference field="16" count="1" selected="0">
            <x v="2"/>
          </reference>
        </references>
      </pivotArea>
    </chartFormat>
    <chartFormat chart="0" format="13" series="1">
      <pivotArea type="data" outline="0" fieldPosition="0">
        <references count="4">
          <reference field="4294967294" count="1" selected="0">
            <x v="0"/>
          </reference>
          <reference field="14" count="1" selected="0">
            <x v="12"/>
          </reference>
          <reference field="15" count="1" selected="0">
            <x v="4"/>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mite data" connectionId="1" xr16:uid="{849784AE-1127-4FF4-B45C-493816519FD4}" autoFormatId="16" applyNumberFormats="0" applyBorderFormats="0" applyFontFormats="0" applyPatternFormats="0"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4D3437B2-9F01-4F83-BE45-EF9AE540A550}" sourceName="Class">
  <pivotTables>
    <pivotTable tabId="9" name="PivotTable1"/>
  </pivotTables>
  <data>
    <tabular pivotCacheId="494934166">
      <items count="5">
        <i x="3" s="1"/>
        <i x="4"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xr10:uid="{EA05FDB8-5D54-4F5D-88FA-2CA647D086C4}" cache="Slicer_Class" caption="Clas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E696025-433B-4929-9667-4BC475728182}" name="Table5" displayName="Table5" ref="A1:I225" totalsRowShown="0">
  <autoFilter ref="A1:I225" xr:uid="{3E696025-433B-4929-9667-4BC475728182}"/>
  <tableColumns count="9">
    <tableColumn id="1" xr3:uid="{20F1034E-9AB3-4940-B65D-0A55A322EC31}" name="God"/>
    <tableColumn id="2" xr3:uid="{9DE4D6A7-702C-4C37-93BA-65C4107E83A7}" name="Pantheon"/>
    <tableColumn id="3" xr3:uid="{2AAF836D-30FA-49F8-8D1F-1E0E093C1BC7}" name="Attack Type"/>
    <tableColumn id="4" xr3:uid="{FFF2E49D-359F-4F90-A4D9-55172BAB2A2A}" name="Power Type"/>
    <tableColumn id="5" xr3:uid="{DD11DE93-7FF7-45EA-9DBB-C0DB4A979553}" name="Class"/>
    <tableColumn id="6" xr3:uid="{D22FD9B9-84C4-4B17-92FB-B250B307F8D0}" name="Difficulty"/>
    <tableColumn id="7" xr3:uid="{BDE97736-146E-4ED2-9E29-11B20C3A158E}" name="Favor Cost"/>
    <tableColumn id="8" xr3:uid="{28D5E359-4E50-40D3-907C-8B56F7836889}" name="Gems Cost"/>
    <tableColumn id="9" xr3:uid="{798B9A51-5172-4D0F-BC4E-A3BA477BE179}" name="Release Dat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F8606E-0363-4177-8B7F-99702FD77F14}" name="Table3" displayName="Table3" ref="A1:N121" totalsRowShown="0" headerRowDxfId="68" dataDxfId="67">
  <autoFilter ref="A1:N121" xr:uid="{DDF8606E-0363-4177-8B7F-99702FD77F14}"/>
  <sortState xmlns:xlrd2="http://schemas.microsoft.com/office/spreadsheetml/2017/richdata2" ref="A2:G121">
    <sortCondition ref="A1:A121"/>
  </sortState>
  <tableColumns count="14">
    <tableColumn id="2" xr3:uid="{DBDBA2A2-3F7A-43F0-8CE0-217C7D26DDDE}" name="GOD" dataDxfId="66"/>
    <tableColumn id="3" xr3:uid="{F0039DCA-3016-4059-983C-2EE67EAE3D93}" name="WIN RATE" dataDxfId="65"/>
    <tableColumn id="4" xr3:uid="{095D09AF-124F-4B00-B0DD-15E23A23EC8E}" name="MATCHES" dataDxfId="64"/>
    <tableColumn id="5" xr3:uid="{2D7CBB03-061D-4D3A-AFAF-DD2B30C3ABC4}" name="KDA" dataDxfId="63"/>
    <tableColumn id="6" xr3:uid="{CFCE5801-BFED-4F05-9771-1091654A42CC}" name="DAMAGE" dataDxfId="62"/>
    <tableColumn id="7" xr3:uid="{E777D26C-C7FA-4427-A35D-43767E5D8889}" name="HEALING" dataDxfId="61"/>
    <tableColumn id="8" xr3:uid="{8727014A-74ED-41EB-8D77-3B433933185F}" name="MITIGATED" dataDxfId="60"/>
    <tableColumn id="9" xr3:uid="{DF6D1F7E-8D33-41FC-AD42-9E55C5B07B98}" name="Number of wins" dataDxfId="59">
      <calculatedColumnFormula>Table3[[#This Row],[MATCHES]]*Table3[[#This Row],[WIN RATE]]</calculatedColumnFormula>
    </tableColumn>
    <tableColumn id="10" xr3:uid="{65AF7E22-8D56-449E-85DE-31C0EC3CC3D4}" name="Number of Losses" dataDxfId="58">
      <calculatedColumnFormula>Table3[[#This Row],[MATCHES]]-Table3[[#This Row],[Number of wins]]</calculatedColumnFormula>
    </tableColumn>
    <tableColumn id="11" xr3:uid="{1D1B700B-B576-4B32-995D-08B9E0FE9D77}" name="Pantheon" dataDxfId="57">
      <calculatedColumnFormula>VLOOKUP(Table3[[#This Row],[GOD]],' Raw Data for God Type'!A:I,2)</calculatedColumnFormula>
    </tableColumn>
    <tableColumn id="12" xr3:uid="{9E02E613-0069-41DB-A910-A8B55996C810}" name="Class" dataDxfId="56">
      <calculatedColumnFormula>VLOOKUP(Table3[[#This Row],[GOD]],' Raw Data for God Type'!A:I,5)</calculatedColumnFormula>
    </tableColumn>
    <tableColumn id="13" xr3:uid="{CE973523-2810-4862-87B9-8D1F04B072A0}" name="Difficulty" dataDxfId="55">
      <calculatedColumnFormula>VLOOKUP(Table3[[#This Row],[GOD]],' Raw Data for God Type'!A:I,6)</calculatedColumnFormula>
    </tableColumn>
    <tableColumn id="14" xr3:uid="{A4162E33-3552-46F8-958D-DDBC6E8EBC93}" name="Attack Type" dataDxfId="54">
      <calculatedColumnFormula>VLOOKUP(Table3[[#This Row],[GOD]],' Raw Data for God Type'!A:I,3)</calculatedColumnFormula>
    </tableColumn>
    <tableColumn id="15" xr3:uid="{B54A8DE9-9FB0-4737-BB0C-DAB6A7233EF6}" name="Power Type" dataDxfId="53">
      <calculatedColumnFormula>VLOOKUP(Table3[[#This Row],[GOD]],' Raw Data for God Type'!A:I,4)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8BC3FC-2827-407F-A3E5-5B187A33008B}" name="Table37" displayName="Table37" ref="A1:O121" totalsRowShown="0" headerRowDxfId="52" dataDxfId="51">
  <autoFilter ref="A1:O121" xr:uid="{B38BC3FC-2827-407F-A3E5-5B187A33008B}"/>
  <sortState xmlns:xlrd2="http://schemas.microsoft.com/office/spreadsheetml/2017/richdata2" ref="A2:G121">
    <sortCondition ref="A1:A121"/>
  </sortState>
  <tableColumns count="15">
    <tableColumn id="2" xr3:uid="{13E8CD19-4170-48D5-90D2-F4605E1ADE23}" name="GOD" dataDxfId="50"/>
    <tableColumn id="3" xr3:uid="{788125C8-3734-4537-B461-BDE422F3CFB8}" name="WIN RATE" dataDxfId="49"/>
    <tableColumn id="4" xr3:uid="{C1419AF0-0430-41E5-8861-8A7BE05512BD}" name="MATCHES" dataDxfId="48"/>
    <tableColumn id="5" xr3:uid="{25F86609-89D9-4DF7-B439-F3780187B11A}" name="KDA" dataDxfId="47"/>
    <tableColumn id="6" xr3:uid="{8212EF93-404B-47F0-A12D-F8B461FAD4D0}" name="DAMAGE" dataDxfId="46"/>
    <tableColumn id="7" xr3:uid="{5F790D2A-00F7-4342-86CB-5281C1C07D3E}" name="HEALING" dataDxfId="45"/>
    <tableColumn id="8" xr3:uid="{465E4296-CBF2-49AF-BCAD-6C56BA7098E6}" name="MITIGATED" dataDxfId="44"/>
    <tableColumn id="9" xr3:uid="{D2E2B38C-7121-4A5D-BAA1-2CA307C35DDA}" name="Number of wins" dataDxfId="43">
      <calculatedColumnFormula>Table37[[#This Row],[MATCHES]]*Table37[[#This Row],[WIN RATE]]</calculatedColumnFormula>
    </tableColumn>
    <tableColumn id="10" xr3:uid="{EA5D8AF4-078F-402A-B2F3-338F7C874CFA}" name="Number of Losses" dataDxfId="42">
      <calculatedColumnFormula>Table37[[#This Row],[MATCHES]]-Table37[[#This Row],[Number of wins]]</calculatedColumnFormula>
    </tableColumn>
    <tableColumn id="11" xr3:uid="{B63A18EA-2BB5-4BE3-AA49-7B779576B0D3}" name="Pantheon" dataDxfId="41">
      <calculatedColumnFormula>VLOOKUP(Table37[[#This Row],[GOD]],' Raw Data for God Type'!A:I,2)</calculatedColumnFormula>
    </tableColumn>
    <tableColumn id="12" xr3:uid="{3CE25EDC-84B9-43A2-9112-29B8DF96CF94}" name="Class" dataDxfId="40">
      <calculatedColumnFormula>VLOOKUP(Table37[[#This Row],[GOD]],' Raw Data for God Type'!A:I,5)</calculatedColumnFormula>
    </tableColumn>
    <tableColumn id="13" xr3:uid="{B8E36A40-31C7-49A0-8A50-F8E38FAAD7DE}" name="Difficulty" dataDxfId="39">
      <calculatedColumnFormula>VLOOKUP(Table37[[#This Row],[GOD]],' Raw Data for God Type'!A:I,6)</calculatedColumnFormula>
    </tableColumn>
    <tableColumn id="14" xr3:uid="{BD514118-4EB3-4835-80C5-2078E83FFD30}" name="Attack Type" dataDxfId="38">
      <calculatedColumnFormula>VLOOKUP(Table37[[#This Row],[GOD]],' Raw Data for God Type'!A:I,3)</calculatedColumnFormula>
    </tableColumn>
    <tableColumn id="15" xr3:uid="{5A00AB94-2E2E-4867-927E-607D4BD6DACF}" name="Power Type" dataDxfId="37">
      <calculatedColumnFormula>VLOOKUP(Table37[[#This Row],[GOD]],' Raw Data for God Type'!A:I,4)</calculatedColumnFormula>
    </tableColumn>
    <tableColumn id="16" xr3:uid="{12C61926-8990-4FBE-A116-D4DEB701A967}" name="Date of Release" dataDxfId="36">
      <calculatedColumnFormula>VLOOKUP(Table37[[#This Row],[GOD]],' Raw Data for God Type'!$A$2:$I$121,9)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of_Release" xr10:uid="{BCA75E8B-7D5A-4F4B-854B-190DE005BB0F}" sourceName="Date of Release">
  <pivotTables>
    <pivotTable tabId="9" name="PivotTable1"/>
  </pivotTables>
  <state minimalRefreshVersion="6" lastRefreshVersion="6" pivotCacheId="494934166" filterType="unknown">
    <bounds startDate="201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of Release" xr10:uid="{B2BAB47A-4987-4B1C-933B-FFE31E19CFE3}" cache="NativeTimeline_Date_of_Release" caption="Date of Release" level="0" selectionLevel="0" scrollPosition="2016-10-27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A6603-AC50-41CE-BBCD-DDEDC1EE025E}">
  <sheetPr codeName="Sheet3"/>
  <dimension ref="A1:I121"/>
  <sheetViews>
    <sheetView workbookViewId="0">
      <selection activeCell="I13" sqref="I13"/>
    </sheetView>
  </sheetViews>
  <sheetFormatPr defaultRowHeight="15" x14ac:dyDescent="0.25"/>
  <cols>
    <col min="1" max="1" width="21.140625" bestFit="1" customWidth="1"/>
    <col min="2" max="2" width="48.42578125" bestFit="1" customWidth="1"/>
    <col min="3" max="3" width="31.140625" bestFit="1" customWidth="1"/>
    <col min="4" max="4" width="31" bestFit="1" customWidth="1"/>
    <col min="5" max="5" width="32.85546875" bestFit="1" customWidth="1"/>
    <col min="6" max="6" width="11.28515625" customWidth="1"/>
    <col min="7" max="7" width="15.28515625" bestFit="1" customWidth="1"/>
    <col min="8" max="8" width="13.42578125" bestFit="1" customWidth="1"/>
    <col min="9" max="9" width="14.7109375" customWidth="1"/>
  </cols>
  <sheetData>
    <row r="1" spans="1:9" x14ac:dyDescent="0.25">
      <c r="A1" t="s">
        <v>250</v>
      </c>
      <c r="B1" t="s">
        <v>251</v>
      </c>
      <c r="C1" t="s">
        <v>252</v>
      </c>
      <c r="D1" t="s">
        <v>253</v>
      </c>
      <c r="E1" t="s">
        <v>254</v>
      </c>
      <c r="F1" t="s">
        <v>255</v>
      </c>
      <c r="G1" t="s">
        <v>256</v>
      </c>
      <c r="H1" t="s">
        <v>257</v>
      </c>
      <c r="I1" t="s">
        <v>258</v>
      </c>
    </row>
    <row r="2" spans="1:9" x14ac:dyDescent="0.25">
      <c r="A2" t="s">
        <v>259</v>
      </c>
      <c r="B2" t="s">
        <v>392</v>
      </c>
      <c r="C2" t="s">
        <v>390</v>
      </c>
      <c r="D2" t="s">
        <v>408</v>
      </c>
      <c r="E2" t="s">
        <v>410</v>
      </c>
      <c r="F2" t="s">
        <v>260</v>
      </c>
      <c r="G2" t="s">
        <v>261</v>
      </c>
      <c r="H2" t="s">
        <v>262</v>
      </c>
      <c r="I2" s="7">
        <v>43158</v>
      </c>
    </row>
    <row r="3" spans="1:9" x14ac:dyDescent="0.25">
      <c r="A3" t="s">
        <v>263</v>
      </c>
      <c r="B3" t="s">
        <v>393</v>
      </c>
      <c r="C3" t="s">
        <v>391</v>
      </c>
      <c r="D3" t="s">
        <v>409</v>
      </c>
      <c r="E3" t="s">
        <v>411</v>
      </c>
      <c r="F3" t="s">
        <v>264</v>
      </c>
      <c r="G3" t="s">
        <v>265</v>
      </c>
      <c r="H3" t="s">
        <v>262</v>
      </c>
      <c r="I3" s="7">
        <v>41060</v>
      </c>
    </row>
    <row r="4" spans="1:9" x14ac:dyDescent="0.25">
      <c r="A4" t="s">
        <v>266</v>
      </c>
      <c r="B4" t="s">
        <v>394</v>
      </c>
      <c r="C4" t="s">
        <v>391</v>
      </c>
      <c r="D4" t="s">
        <v>408</v>
      </c>
      <c r="E4" t="s">
        <v>412</v>
      </c>
      <c r="F4" t="s">
        <v>260</v>
      </c>
      <c r="G4" t="s">
        <v>261</v>
      </c>
      <c r="H4" t="s">
        <v>262</v>
      </c>
      <c r="I4" s="7">
        <v>41585</v>
      </c>
    </row>
    <row r="5" spans="1:9" x14ac:dyDescent="0.25">
      <c r="A5" t="s">
        <v>267</v>
      </c>
      <c r="B5" t="s">
        <v>394</v>
      </c>
      <c r="C5" t="s">
        <v>391</v>
      </c>
      <c r="D5" t="s">
        <v>409</v>
      </c>
      <c r="E5" t="s">
        <v>411</v>
      </c>
      <c r="F5" t="s">
        <v>260</v>
      </c>
      <c r="G5" t="s">
        <v>261</v>
      </c>
      <c r="H5" t="s">
        <v>262</v>
      </c>
      <c r="I5" s="7">
        <v>42122</v>
      </c>
    </row>
    <row r="6" spans="1:9" x14ac:dyDescent="0.25">
      <c r="A6" t="s">
        <v>268</v>
      </c>
      <c r="B6" t="s">
        <v>395</v>
      </c>
      <c r="C6" t="s">
        <v>390</v>
      </c>
      <c r="D6" t="s">
        <v>408</v>
      </c>
      <c r="E6" t="s">
        <v>410</v>
      </c>
      <c r="F6" t="s">
        <v>260</v>
      </c>
      <c r="G6" t="s">
        <v>261</v>
      </c>
      <c r="H6" t="s">
        <v>262</v>
      </c>
      <c r="I6" s="7">
        <v>42381</v>
      </c>
    </row>
    <row r="7" spans="1:9" x14ac:dyDescent="0.25">
      <c r="A7" t="s">
        <v>269</v>
      </c>
      <c r="B7" t="s">
        <v>396</v>
      </c>
      <c r="C7" t="s">
        <v>391</v>
      </c>
      <c r="D7" t="s">
        <v>408</v>
      </c>
      <c r="E7" t="s">
        <v>412</v>
      </c>
      <c r="F7" t="s">
        <v>260</v>
      </c>
      <c r="G7" t="s">
        <v>261</v>
      </c>
      <c r="H7" t="s">
        <v>262</v>
      </c>
      <c r="I7" s="7">
        <v>41124</v>
      </c>
    </row>
    <row r="8" spans="1:9" x14ac:dyDescent="0.25">
      <c r="A8" t="s">
        <v>270</v>
      </c>
      <c r="B8" t="s">
        <v>396</v>
      </c>
      <c r="C8" t="s">
        <v>391</v>
      </c>
      <c r="D8" t="s">
        <v>409</v>
      </c>
      <c r="E8" t="s">
        <v>411</v>
      </c>
      <c r="F8" t="s">
        <v>271</v>
      </c>
      <c r="G8" t="s">
        <v>261</v>
      </c>
      <c r="H8" t="s">
        <v>262</v>
      </c>
      <c r="I8" s="7">
        <v>41060</v>
      </c>
    </row>
    <row r="9" spans="1:9" x14ac:dyDescent="0.25">
      <c r="A9" t="s">
        <v>272</v>
      </c>
      <c r="B9" t="s">
        <v>397</v>
      </c>
      <c r="C9" t="s">
        <v>390</v>
      </c>
      <c r="D9" t="s">
        <v>409</v>
      </c>
      <c r="E9" t="s">
        <v>411</v>
      </c>
      <c r="F9" t="s">
        <v>264</v>
      </c>
      <c r="G9" t="s">
        <v>261</v>
      </c>
      <c r="H9" t="s">
        <v>262</v>
      </c>
      <c r="I9" s="7">
        <v>41962</v>
      </c>
    </row>
    <row r="10" spans="1:9" x14ac:dyDescent="0.25">
      <c r="A10" t="s">
        <v>273</v>
      </c>
      <c r="B10" t="s">
        <v>392</v>
      </c>
      <c r="C10" t="s">
        <v>391</v>
      </c>
      <c r="D10" t="s">
        <v>409</v>
      </c>
      <c r="E10" t="s">
        <v>411</v>
      </c>
      <c r="F10" t="s">
        <v>264</v>
      </c>
      <c r="G10" t="s">
        <v>261</v>
      </c>
      <c r="H10" t="s">
        <v>262</v>
      </c>
      <c r="I10" s="7">
        <v>41346</v>
      </c>
    </row>
    <row r="11" spans="1:9" x14ac:dyDescent="0.25">
      <c r="A11" t="s">
        <v>274</v>
      </c>
      <c r="B11" t="s">
        <v>392</v>
      </c>
      <c r="C11" t="s">
        <v>391</v>
      </c>
      <c r="D11" t="s">
        <v>408</v>
      </c>
      <c r="E11" t="s">
        <v>412</v>
      </c>
      <c r="F11" t="s">
        <v>271</v>
      </c>
      <c r="G11" t="s">
        <v>261</v>
      </c>
      <c r="H11" t="s">
        <v>262</v>
      </c>
      <c r="I11" s="7">
        <v>41361</v>
      </c>
    </row>
    <row r="12" spans="1:9" x14ac:dyDescent="0.25">
      <c r="A12" t="s">
        <v>275</v>
      </c>
      <c r="B12" t="s">
        <v>392</v>
      </c>
      <c r="C12" t="s">
        <v>390</v>
      </c>
      <c r="D12" t="s">
        <v>408</v>
      </c>
      <c r="E12" t="s">
        <v>413</v>
      </c>
      <c r="F12" t="s">
        <v>260</v>
      </c>
      <c r="G12" t="s">
        <v>261</v>
      </c>
      <c r="H12" t="s">
        <v>262</v>
      </c>
      <c r="I12" s="7">
        <v>41060</v>
      </c>
    </row>
    <row r="13" spans="1:9" x14ac:dyDescent="0.25">
      <c r="A13" t="s">
        <v>276</v>
      </c>
      <c r="B13" t="s">
        <v>392</v>
      </c>
      <c r="C13" t="s">
        <v>390</v>
      </c>
      <c r="D13" t="s">
        <v>409</v>
      </c>
      <c r="E13" t="s">
        <v>414</v>
      </c>
      <c r="F13" t="s">
        <v>271</v>
      </c>
      <c r="G13" t="s">
        <v>277</v>
      </c>
      <c r="H13" t="s">
        <v>277</v>
      </c>
      <c r="I13" s="7">
        <v>41186</v>
      </c>
    </row>
    <row r="14" spans="1:9" x14ac:dyDescent="0.25">
      <c r="A14" t="s">
        <v>278</v>
      </c>
      <c r="B14" t="s">
        <v>392</v>
      </c>
      <c r="C14" t="s">
        <v>391</v>
      </c>
      <c r="D14" t="s">
        <v>408</v>
      </c>
      <c r="E14" t="s">
        <v>412</v>
      </c>
      <c r="F14" t="s">
        <v>260</v>
      </c>
      <c r="G14" t="s">
        <v>277</v>
      </c>
      <c r="H14" t="s">
        <v>277</v>
      </c>
      <c r="I14" s="7">
        <v>41060</v>
      </c>
    </row>
    <row r="15" spans="1:9" x14ac:dyDescent="0.25">
      <c r="A15" t="s">
        <v>279</v>
      </c>
      <c r="B15" t="s">
        <v>398</v>
      </c>
      <c r="C15" t="s">
        <v>390</v>
      </c>
      <c r="D15" t="s">
        <v>409</v>
      </c>
      <c r="E15" t="s">
        <v>414</v>
      </c>
      <c r="F15" t="s">
        <v>260</v>
      </c>
      <c r="G15" t="s">
        <v>261</v>
      </c>
      <c r="H15" t="s">
        <v>262</v>
      </c>
      <c r="I15" s="7">
        <v>42948</v>
      </c>
    </row>
    <row r="16" spans="1:9" x14ac:dyDescent="0.25">
      <c r="A16" t="s">
        <v>280</v>
      </c>
      <c r="B16" t="s">
        <v>392</v>
      </c>
      <c r="C16" t="s">
        <v>390</v>
      </c>
      <c r="D16" t="s">
        <v>409</v>
      </c>
      <c r="E16" t="s">
        <v>414</v>
      </c>
      <c r="F16" t="s">
        <v>271</v>
      </c>
      <c r="G16" t="s">
        <v>261</v>
      </c>
      <c r="H16" t="s">
        <v>262</v>
      </c>
      <c r="I16" s="7">
        <v>41430</v>
      </c>
    </row>
    <row r="17" spans="1:9" x14ac:dyDescent="0.25">
      <c r="A17" t="s">
        <v>281</v>
      </c>
      <c r="B17" t="s">
        <v>392</v>
      </c>
      <c r="C17" t="s">
        <v>390</v>
      </c>
      <c r="D17" t="s">
        <v>409</v>
      </c>
      <c r="E17" t="s">
        <v>414</v>
      </c>
      <c r="F17" t="s">
        <v>271</v>
      </c>
      <c r="G17" t="s">
        <v>261</v>
      </c>
      <c r="H17" t="s">
        <v>262</v>
      </c>
      <c r="I17" s="7">
        <v>44544</v>
      </c>
    </row>
    <row r="18" spans="1:9" x14ac:dyDescent="0.25">
      <c r="A18" t="s">
        <v>282</v>
      </c>
      <c r="B18" t="s">
        <v>394</v>
      </c>
      <c r="C18" t="s">
        <v>390</v>
      </c>
      <c r="D18" t="s">
        <v>408</v>
      </c>
      <c r="E18" t="s">
        <v>413</v>
      </c>
      <c r="F18" t="s">
        <v>264</v>
      </c>
      <c r="G18" t="s">
        <v>261</v>
      </c>
      <c r="H18" t="s">
        <v>262</v>
      </c>
      <c r="I18" s="7">
        <v>41990</v>
      </c>
    </row>
    <row r="19" spans="1:9" x14ac:dyDescent="0.25">
      <c r="A19" t="s">
        <v>283</v>
      </c>
      <c r="B19" t="s">
        <v>399</v>
      </c>
      <c r="C19" t="s">
        <v>391</v>
      </c>
      <c r="D19" t="s">
        <v>409</v>
      </c>
      <c r="E19" t="s">
        <v>411</v>
      </c>
      <c r="F19" t="s">
        <v>260</v>
      </c>
      <c r="G19" t="s">
        <v>261</v>
      </c>
      <c r="H19" t="s">
        <v>262</v>
      </c>
      <c r="I19" s="7">
        <v>43942</v>
      </c>
    </row>
    <row r="20" spans="1:9" x14ac:dyDescent="0.25">
      <c r="A20" t="s">
        <v>284</v>
      </c>
      <c r="B20" t="s">
        <v>400</v>
      </c>
      <c r="C20" t="s">
        <v>390</v>
      </c>
      <c r="D20" t="s">
        <v>409</v>
      </c>
      <c r="E20" t="s">
        <v>414</v>
      </c>
      <c r="F20" t="s">
        <v>260</v>
      </c>
      <c r="G20" t="s">
        <v>261</v>
      </c>
      <c r="H20" t="s">
        <v>262</v>
      </c>
      <c r="I20" s="7">
        <v>41232</v>
      </c>
    </row>
    <row r="21" spans="1:9" x14ac:dyDescent="0.25">
      <c r="A21" t="s">
        <v>285</v>
      </c>
      <c r="B21" t="s">
        <v>393</v>
      </c>
      <c r="C21" t="s">
        <v>390</v>
      </c>
      <c r="D21" t="s">
        <v>408</v>
      </c>
      <c r="E21" t="s">
        <v>413</v>
      </c>
      <c r="F21" t="s">
        <v>271</v>
      </c>
      <c r="G21" t="s">
        <v>261</v>
      </c>
      <c r="H21" t="s">
        <v>262</v>
      </c>
      <c r="I21" s="7">
        <v>41110</v>
      </c>
    </row>
    <row r="22" spans="1:9" x14ac:dyDescent="0.25">
      <c r="A22" t="s">
        <v>286</v>
      </c>
      <c r="B22" t="s">
        <v>401</v>
      </c>
      <c r="C22" t="s">
        <v>391</v>
      </c>
      <c r="D22" t="s">
        <v>409</v>
      </c>
      <c r="E22" t="s">
        <v>411</v>
      </c>
      <c r="F22" t="s">
        <v>264</v>
      </c>
      <c r="G22" t="s">
        <v>261</v>
      </c>
      <c r="H22" t="s">
        <v>262</v>
      </c>
      <c r="I22" s="7">
        <v>43277</v>
      </c>
    </row>
    <row r="23" spans="1:9" x14ac:dyDescent="0.25">
      <c r="A23" t="s">
        <v>287</v>
      </c>
      <c r="B23" t="s">
        <v>396</v>
      </c>
      <c r="C23" t="s">
        <v>390</v>
      </c>
      <c r="D23" t="s">
        <v>408</v>
      </c>
      <c r="E23" t="s">
        <v>413</v>
      </c>
      <c r="F23" t="s">
        <v>271</v>
      </c>
      <c r="G23" t="s">
        <v>261</v>
      </c>
      <c r="H23" t="s">
        <v>262</v>
      </c>
      <c r="I23" s="7">
        <v>41060</v>
      </c>
    </row>
    <row r="24" spans="1:9" x14ac:dyDescent="0.25">
      <c r="A24" t="s">
        <v>288</v>
      </c>
      <c r="B24" t="s">
        <v>400</v>
      </c>
      <c r="C24" t="s">
        <v>390</v>
      </c>
      <c r="D24" t="s">
        <v>408</v>
      </c>
      <c r="E24" t="s">
        <v>410</v>
      </c>
      <c r="F24" t="s">
        <v>260</v>
      </c>
      <c r="G24" t="s">
        <v>277</v>
      </c>
      <c r="H24" t="s">
        <v>277</v>
      </c>
      <c r="I24" s="7">
        <v>42060</v>
      </c>
    </row>
    <row r="25" spans="1:9" x14ac:dyDescent="0.25">
      <c r="A25" t="s">
        <v>289</v>
      </c>
      <c r="B25" t="s">
        <v>394</v>
      </c>
      <c r="C25" t="s">
        <v>390</v>
      </c>
      <c r="D25" t="s">
        <v>409</v>
      </c>
      <c r="E25" t="s">
        <v>414</v>
      </c>
      <c r="F25" t="s">
        <v>260</v>
      </c>
      <c r="G25" t="s">
        <v>261</v>
      </c>
      <c r="H25" t="s">
        <v>262</v>
      </c>
      <c r="I25" s="7">
        <v>41870</v>
      </c>
    </row>
    <row r="26" spans="1:9" x14ac:dyDescent="0.25">
      <c r="A26" t="s">
        <v>290</v>
      </c>
      <c r="B26" t="s">
        <v>394</v>
      </c>
      <c r="C26" t="s">
        <v>390</v>
      </c>
      <c r="D26" t="s">
        <v>408</v>
      </c>
      <c r="E26" t="s">
        <v>413</v>
      </c>
      <c r="F26" t="s">
        <v>260</v>
      </c>
      <c r="G26" t="s">
        <v>261</v>
      </c>
      <c r="H26" t="s">
        <v>262</v>
      </c>
      <c r="I26" s="7">
        <v>42654</v>
      </c>
    </row>
    <row r="27" spans="1:9" x14ac:dyDescent="0.25">
      <c r="A27" t="s">
        <v>291</v>
      </c>
      <c r="B27" t="s">
        <v>392</v>
      </c>
      <c r="C27" t="s">
        <v>390</v>
      </c>
      <c r="D27" t="s">
        <v>409</v>
      </c>
      <c r="E27" t="s">
        <v>414</v>
      </c>
      <c r="F27" t="s">
        <v>271</v>
      </c>
      <c r="G27" t="s">
        <v>261</v>
      </c>
      <c r="H27" t="s">
        <v>262</v>
      </c>
      <c r="I27" s="7">
        <v>43109</v>
      </c>
    </row>
    <row r="28" spans="1:9" x14ac:dyDescent="0.25">
      <c r="A28" t="s">
        <v>292</v>
      </c>
      <c r="B28" t="s">
        <v>398</v>
      </c>
      <c r="C28" t="s">
        <v>391</v>
      </c>
      <c r="D28" t="s">
        <v>408</v>
      </c>
      <c r="E28" t="s">
        <v>412</v>
      </c>
      <c r="F28" t="s">
        <v>260</v>
      </c>
      <c r="G28" t="s">
        <v>261</v>
      </c>
      <c r="H28" t="s">
        <v>262</v>
      </c>
      <c r="I28" s="7">
        <v>42808</v>
      </c>
    </row>
    <row r="29" spans="1:9" x14ac:dyDescent="0.25">
      <c r="A29" t="s">
        <v>293</v>
      </c>
      <c r="B29" t="s">
        <v>394</v>
      </c>
      <c r="C29" t="s">
        <v>390</v>
      </c>
      <c r="D29" t="s">
        <v>408</v>
      </c>
      <c r="E29" t="s">
        <v>410</v>
      </c>
      <c r="F29" t="s">
        <v>260</v>
      </c>
      <c r="G29" t="s">
        <v>261</v>
      </c>
      <c r="H29" t="s">
        <v>262</v>
      </c>
      <c r="I29" s="7">
        <v>41626</v>
      </c>
    </row>
    <row r="30" spans="1:9" x14ac:dyDescent="0.25">
      <c r="A30" t="s">
        <v>294</v>
      </c>
      <c r="B30" t="s">
        <v>397</v>
      </c>
      <c r="C30" t="s">
        <v>391</v>
      </c>
      <c r="D30" t="s">
        <v>409</v>
      </c>
      <c r="E30" t="s">
        <v>411</v>
      </c>
      <c r="F30" t="s">
        <v>260</v>
      </c>
      <c r="G30" t="s">
        <v>261</v>
      </c>
      <c r="H30" t="s">
        <v>262</v>
      </c>
      <c r="I30" s="7">
        <v>41479</v>
      </c>
    </row>
    <row r="31" spans="1:9" x14ac:dyDescent="0.25">
      <c r="A31" t="s">
        <v>295</v>
      </c>
      <c r="B31" t="s">
        <v>392</v>
      </c>
      <c r="C31" t="s">
        <v>391</v>
      </c>
      <c r="D31" t="s">
        <v>408</v>
      </c>
      <c r="E31" t="s">
        <v>412</v>
      </c>
      <c r="F31" t="s">
        <v>260</v>
      </c>
      <c r="G31" t="s">
        <v>261</v>
      </c>
      <c r="H31" t="s">
        <v>262</v>
      </c>
      <c r="I31" s="7">
        <v>44432</v>
      </c>
    </row>
    <row r="32" spans="1:9" x14ac:dyDescent="0.25">
      <c r="A32" t="s">
        <v>296</v>
      </c>
      <c r="B32" t="s">
        <v>399</v>
      </c>
      <c r="C32" t="s">
        <v>391</v>
      </c>
      <c r="D32" t="s">
        <v>408</v>
      </c>
      <c r="E32" t="s">
        <v>412</v>
      </c>
      <c r="F32" t="s">
        <v>264</v>
      </c>
      <c r="G32" t="s">
        <v>261</v>
      </c>
      <c r="H32" t="s">
        <v>262</v>
      </c>
      <c r="I32" s="7">
        <v>43235</v>
      </c>
    </row>
    <row r="33" spans="1:9" x14ac:dyDescent="0.25">
      <c r="A33" t="s">
        <v>297</v>
      </c>
      <c r="B33" t="s">
        <v>392</v>
      </c>
      <c r="C33" t="s">
        <v>391</v>
      </c>
      <c r="D33" t="s">
        <v>408</v>
      </c>
      <c r="E33" t="s">
        <v>412</v>
      </c>
      <c r="F33" t="s">
        <v>271</v>
      </c>
      <c r="G33" t="s">
        <v>261</v>
      </c>
      <c r="H33" t="s">
        <v>262</v>
      </c>
      <c r="I33" s="7">
        <v>42325</v>
      </c>
    </row>
    <row r="34" spans="1:9" x14ac:dyDescent="0.25">
      <c r="A34" t="s">
        <v>298</v>
      </c>
      <c r="B34" t="s">
        <v>392</v>
      </c>
      <c r="C34" t="s">
        <v>391</v>
      </c>
      <c r="D34" t="s">
        <v>409</v>
      </c>
      <c r="E34" t="s">
        <v>411</v>
      </c>
      <c r="F34" t="s">
        <v>264</v>
      </c>
      <c r="G34" t="s">
        <v>261</v>
      </c>
      <c r="H34" t="s">
        <v>262</v>
      </c>
      <c r="I34" s="7">
        <v>41465</v>
      </c>
    </row>
    <row r="35" spans="1:9" x14ac:dyDescent="0.25">
      <c r="A35" t="s">
        <v>299</v>
      </c>
      <c r="B35" t="s">
        <v>398</v>
      </c>
      <c r="C35" t="s">
        <v>390</v>
      </c>
      <c r="D35" t="s">
        <v>408</v>
      </c>
      <c r="E35" t="s">
        <v>413</v>
      </c>
      <c r="F35" t="s">
        <v>260</v>
      </c>
      <c r="G35" t="s">
        <v>261</v>
      </c>
      <c r="H35" t="s">
        <v>262</v>
      </c>
      <c r="I35" s="7">
        <v>44488</v>
      </c>
    </row>
    <row r="36" spans="1:9" x14ac:dyDescent="0.25">
      <c r="A36" t="s">
        <v>300</v>
      </c>
      <c r="B36" t="s">
        <v>402</v>
      </c>
      <c r="C36" t="s">
        <v>390</v>
      </c>
      <c r="D36" t="s">
        <v>409</v>
      </c>
      <c r="E36" t="s">
        <v>414</v>
      </c>
      <c r="F36" t="s">
        <v>260</v>
      </c>
      <c r="G36" t="s">
        <v>261</v>
      </c>
      <c r="H36" t="s">
        <v>262</v>
      </c>
      <c r="I36" s="7">
        <v>43998</v>
      </c>
    </row>
    <row r="37" spans="1:9" x14ac:dyDescent="0.25">
      <c r="A37" t="s">
        <v>301</v>
      </c>
      <c r="B37" t="s">
        <v>398</v>
      </c>
      <c r="C37" t="s">
        <v>390</v>
      </c>
      <c r="D37" t="s">
        <v>408</v>
      </c>
      <c r="E37" t="s">
        <v>410</v>
      </c>
      <c r="F37" t="s">
        <v>260</v>
      </c>
      <c r="G37" t="s">
        <v>261</v>
      </c>
      <c r="H37" t="s">
        <v>262</v>
      </c>
      <c r="I37" s="7">
        <v>42906</v>
      </c>
    </row>
    <row r="38" spans="1:9" x14ac:dyDescent="0.25">
      <c r="A38" t="s">
        <v>302</v>
      </c>
      <c r="B38" t="s">
        <v>400</v>
      </c>
      <c r="C38" t="s">
        <v>391</v>
      </c>
      <c r="D38" t="s">
        <v>408</v>
      </c>
      <c r="E38" t="s">
        <v>412</v>
      </c>
      <c r="F38" t="s">
        <v>271</v>
      </c>
      <c r="G38" t="s">
        <v>303</v>
      </c>
      <c r="H38" t="s">
        <v>262</v>
      </c>
      <c r="I38" s="7">
        <v>41138</v>
      </c>
    </row>
    <row r="39" spans="1:9" x14ac:dyDescent="0.25">
      <c r="A39" t="s">
        <v>304</v>
      </c>
      <c r="B39" t="s">
        <v>397</v>
      </c>
      <c r="C39" t="s">
        <v>390</v>
      </c>
      <c r="D39" t="s">
        <v>408</v>
      </c>
      <c r="E39" t="s">
        <v>413</v>
      </c>
      <c r="F39" t="s">
        <v>260</v>
      </c>
      <c r="G39" t="s">
        <v>261</v>
      </c>
      <c r="H39" t="s">
        <v>262</v>
      </c>
      <c r="I39" s="7">
        <v>42879</v>
      </c>
    </row>
    <row r="40" spans="1:9" x14ac:dyDescent="0.25">
      <c r="A40" t="s">
        <v>305</v>
      </c>
      <c r="B40" t="s">
        <v>395</v>
      </c>
      <c r="C40" t="s">
        <v>391</v>
      </c>
      <c r="D40" t="s">
        <v>408</v>
      </c>
      <c r="E40" t="s">
        <v>412</v>
      </c>
      <c r="F40" t="s">
        <v>260</v>
      </c>
      <c r="G40" t="s">
        <v>261</v>
      </c>
      <c r="H40" t="s">
        <v>262</v>
      </c>
      <c r="I40" s="7">
        <v>44180</v>
      </c>
    </row>
    <row r="41" spans="1:9" x14ac:dyDescent="0.25">
      <c r="A41" t="s">
        <v>306</v>
      </c>
      <c r="B41" t="s">
        <v>400</v>
      </c>
      <c r="C41" t="s">
        <v>391</v>
      </c>
      <c r="D41" t="s">
        <v>409</v>
      </c>
      <c r="E41" t="s">
        <v>411</v>
      </c>
      <c r="F41" t="s">
        <v>260</v>
      </c>
      <c r="G41" t="s">
        <v>261</v>
      </c>
      <c r="H41" t="s">
        <v>262</v>
      </c>
      <c r="I41" s="7">
        <v>43045</v>
      </c>
    </row>
    <row r="42" spans="1:9" x14ac:dyDescent="0.25">
      <c r="A42" t="s">
        <v>307</v>
      </c>
      <c r="B42" t="s">
        <v>397</v>
      </c>
      <c r="C42" t="s">
        <v>390</v>
      </c>
      <c r="D42" t="s">
        <v>408</v>
      </c>
      <c r="E42" t="s">
        <v>410</v>
      </c>
      <c r="F42" t="s">
        <v>260</v>
      </c>
      <c r="G42" t="s">
        <v>261</v>
      </c>
      <c r="H42" t="s">
        <v>262</v>
      </c>
      <c r="I42" s="7">
        <v>42557</v>
      </c>
    </row>
    <row r="43" spans="1:9" x14ac:dyDescent="0.25">
      <c r="A43" t="s">
        <v>308</v>
      </c>
      <c r="B43" t="s">
        <v>396</v>
      </c>
      <c r="C43" t="s">
        <v>391</v>
      </c>
      <c r="D43" t="s">
        <v>409</v>
      </c>
      <c r="E43" t="s">
        <v>411</v>
      </c>
      <c r="F43" t="s">
        <v>260</v>
      </c>
      <c r="G43" t="s">
        <v>261</v>
      </c>
      <c r="H43" t="s">
        <v>262</v>
      </c>
      <c r="I43" s="7">
        <v>41409</v>
      </c>
    </row>
    <row r="44" spans="1:9" x14ac:dyDescent="0.25">
      <c r="A44" t="s">
        <v>309</v>
      </c>
      <c r="B44" t="s">
        <v>403</v>
      </c>
      <c r="C44" t="s">
        <v>390</v>
      </c>
      <c r="D44" t="s">
        <v>409</v>
      </c>
      <c r="E44" t="s">
        <v>414</v>
      </c>
      <c r="F44" t="s">
        <v>260</v>
      </c>
      <c r="G44" t="s">
        <v>261</v>
      </c>
      <c r="H44" t="s">
        <v>262</v>
      </c>
      <c r="I44" s="7">
        <v>42528</v>
      </c>
    </row>
    <row r="45" spans="1:9" x14ac:dyDescent="0.25">
      <c r="A45" t="s">
        <v>310</v>
      </c>
      <c r="B45" t="s">
        <v>403</v>
      </c>
      <c r="C45" t="s">
        <v>390</v>
      </c>
      <c r="D45" t="s">
        <v>408</v>
      </c>
      <c r="E45" t="s">
        <v>413</v>
      </c>
      <c r="F45" t="s">
        <v>260</v>
      </c>
      <c r="G45" t="s">
        <v>261</v>
      </c>
      <c r="H45" t="s">
        <v>262</v>
      </c>
      <c r="I45" s="7">
        <v>41395</v>
      </c>
    </row>
    <row r="46" spans="1:9" x14ac:dyDescent="0.25">
      <c r="A46" t="s">
        <v>311</v>
      </c>
      <c r="B46" t="s">
        <v>403</v>
      </c>
      <c r="C46" t="s">
        <v>390</v>
      </c>
      <c r="D46" t="s">
        <v>409</v>
      </c>
      <c r="E46" t="s">
        <v>411</v>
      </c>
      <c r="F46" t="s">
        <v>260</v>
      </c>
      <c r="G46" t="s">
        <v>261</v>
      </c>
      <c r="H46" t="s">
        <v>262</v>
      </c>
      <c r="I46" s="7">
        <v>41200</v>
      </c>
    </row>
    <row r="47" spans="1:9" x14ac:dyDescent="0.25">
      <c r="A47" t="s">
        <v>312</v>
      </c>
      <c r="B47" t="s">
        <v>393</v>
      </c>
      <c r="C47" t="s">
        <v>390</v>
      </c>
      <c r="D47" t="s">
        <v>409</v>
      </c>
      <c r="E47" t="s">
        <v>414</v>
      </c>
      <c r="F47" t="s">
        <v>260</v>
      </c>
      <c r="G47" t="s">
        <v>261</v>
      </c>
      <c r="H47" t="s">
        <v>262</v>
      </c>
      <c r="I47" s="7">
        <v>42850</v>
      </c>
    </row>
    <row r="48" spans="1:9" x14ac:dyDescent="0.25">
      <c r="A48" t="s">
        <v>313</v>
      </c>
      <c r="B48" t="s">
        <v>396</v>
      </c>
      <c r="C48" t="s">
        <v>390</v>
      </c>
      <c r="D48" t="s">
        <v>409</v>
      </c>
      <c r="E48" t="s">
        <v>414</v>
      </c>
      <c r="F48" t="s">
        <v>260</v>
      </c>
      <c r="G48" t="s">
        <v>261</v>
      </c>
      <c r="H48" t="s">
        <v>262</v>
      </c>
      <c r="I48" s="7">
        <v>41655</v>
      </c>
    </row>
    <row r="49" spans="1:9" x14ac:dyDescent="0.25">
      <c r="A49" t="s">
        <v>314</v>
      </c>
      <c r="B49" t="s">
        <v>404</v>
      </c>
      <c r="C49" t="s">
        <v>390</v>
      </c>
      <c r="D49" t="s">
        <v>408</v>
      </c>
      <c r="E49" t="s">
        <v>410</v>
      </c>
      <c r="F49" t="s">
        <v>260</v>
      </c>
      <c r="G49" t="s">
        <v>261</v>
      </c>
      <c r="H49" t="s">
        <v>262</v>
      </c>
      <c r="I49" s="7">
        <v>44306</v>
      </c>
    </row>
    <row r="50" spans="1:9" x14ac:dyDescent="0.25">
      <c r="A50" t="s">
        <v>315</v>
      </c>
      <c r="B50" t="s">
        <v>397</v>
      </c>
      <c r="C50" t="s">
        <v>390</v>
      </c>
      <c r="D50" t="s">
        <v>408</v>
      </c>
      <c r="E50" t="s">
        <v>410</v>
      </c>
      <c r="F50" t="s">
        <v>260</v>
      </c>
      <c r="G50" t="s">
        <v>277</v>
      </c>
      <c r="H50" t="s">
        <v>277</v>
      </c>
      <c r="I50" s="7">
        <v>41089</v>
      </c>
    </row>
    <row r="51" spans="1:9" x14ac:dyDescent="0.25">
      <c r="A51" t="s">
        <v>316</v>
      </c>
      <c r="B51" t="s">
        <v>395</v>
      </c>
      <c r="C51" t="s">
        <v>391</v>
      </c>
      <c r="D51" t="s">
        <v>408</v>
      </c>
      <c r="E51" t="s">
        <v>412</v>
      </c>
      <c r="F51" t="s">
        <v>271</v>
      </c>
      <c r="G51" t="s">
        <v>261</v>
      </c>
      <c r="H51" t="s">
        <v>262</v>
      </c>
      <c r="I51" s="7">
        <v>42991</v>
      </c>
    </row>
    <row r="52" spans="1:9" x14ac:dyDescent="0.25">
      <c r="A52" t="s">
        <v>317</v>
      </c>
      <c r="B52" t="s">
        <v>392</v>
      </c>
      <c r="C52" t="s">
        <v>391</v>
      </c>
      <c r="D52" t="s">
        <v>409</v>
      </c>
      <c r="E52" t="s">
        <v>411</v>
      </c>
      <c r="F52" t="s">
        <v>271</v>
      </c>
      <c r="G52" t="s">
        <v>318</v>
      </c>
      <c r="H52" t="s">
        <v>262</v>
      </c>
      <c r="I52" s="7">
        <v>41060</v>
      </c>
    </row>
    <row r="53" spans="1:9" x14ac:dyDescent="0.25">
      <c r="A53" t="s">
        <v>319</v>
      </c>
      <c r="B53" t="s">
        <v>397</v>
      </c>
      <c r="C53" t="s">
        <v>391</v>
      </c>
      <c r="D53" t="s">
        <v>409</v>
      </c>
      <c r="E53" t="s">
        <v>411</v>
      </c>
      <c r="F53" t="s">
        <v>271</v>
      </c>
      <c r="G53" t="s">
        <v>261</v>
      </c>
      <c r="H53" t="s">
        <v>262</v>
      </c>
      <c r="I53" s="7">
        <v>41060</v>
      </c>
    </row>
    <row r="54" spans="1:9" x14ac:dyDescent="0.25">
      <c r="A54" t="s">
        <v>320</v>
      </c>
      <c r="B54" t="s">
        <v>403</v>
      </c>
      <c r="C54" t="s">
        <v>391</v>
      </c>
      <c r="D54" t="s">
        <v>408</v>
      </c>
      <c r="E54" t="s">
        <v>412</v>
      </c>
      <c r="F54" t="s">
        <v>264</v>
      </c>
      <c r="G54" t="s">
        <v>261</v>
      </c>
      <c r="H54" t="s">
        <v>262</v>
      </c>
      <c r="I54" s="7">
        <v>43810</v>
      </c>
    </row>
    <row r="55" spans="1:9" x14ac:dyDescent="0.25">
      <c r="A55" t="s">
        <v>321</v>
      </c>
      <c r="B55" t="s">
        <v>403</v>
      </c>
      <c r="C55" t="s">
        <v>391</v>
      </c>
      <c r="D55" t="s">
        <v>409</v>
      </c>
      <c r="E55" t="s">
        <v>411</v>
      </c>
      <c r="F55" t="s">
        <v>264</v>
      </c>
      <c r="G55" t="s">
        <v>261</v>
      </c>
      <c r="H55" t="s">
        <v>262</v>
      </c>
      <c r="I55" s="7">
        <v>41060</v>
      </c>
    </row>
    <row r="56" spans="1:9" x14ac:dyDescent="0.25">
      <c r="A56" t="s">
        <v>322</v>
      </c>
      <c r="B56" t="s">
        <v>392</v>
      </c>
      <c r="C56" t="s">
        <v>391</v>
      </c>
      <c r="D56" t="s">
        <v>409</v>
      </c>
      <c r="E56" t="s">
        <v>411</v>
      </c>
      <c r="F56" t="s">
        <v>260</v>
      </c>
      <c r="G56" t="s">
        <v>261</v>
      </c>
      <c r="H56" t="s">
        <v>262</v>
      </c>
      <c r="I56" s="7">
        <v>43388</v>
      </c>
    </row>
    <row r="57" spans="1:9" x14ac:dyDescent="0.25">
      <c r="A57" t="s">
        <v>323</v>
      </c>
      <c r="B57" t="s">
        <v>400</v>
      </c>
      <c r="C57" t="s">
        <v>390</v>
      </c>
      <c r="D57" t="s">
        <v>408</v>
      </c>
      <c r="E57" t="s">
        <v>410</v>
      </c>
      <c r="F57" t="s">
        <v>271</v>
      </c>
      <c r="G57" t="s">
        <v>261</v>
      </c>
      <c r="H57" t="s">
        <v>262</v>
      </c>
      <c r="I57" s="7">
        <v>41283</v>
      </c>
    </row>
    <row r="58" spans="1:9" x14ac:dyDescent="0.25">
      <c r="A58" t="s">
        <v>324</v>
      </c>
      <c r="B58" t="s">
        <v>396</v>
      </c>
      <c r="C58" t="s">
        <v>390</v>
      </c>
      <c r="D58" t="s">
        <v>408</v>
      </c>
      <c r="E58" t="s">
        <v>410</v>
      </c>
      <c r="F58" t="s">
        <v>260</v>
      </c>
      <c r="G58" t="s">
        <v>261</v>
      </c>
      <c r="H58" t="s">
        <v>262</v>
      </c>
      <c r="I58" s="7">
        <v>43585</v>
      </c>
    </row>
    <row r="59" spans="1:9" x14ac:dyDescent="0.25">
      <c r="A59" t="s">
        <v>325</v>
      </c>
      <c r="B59" t="s">
        <v>397</v>
      </c>
      <c r="C59" t="s">
        <v>391</v>
      </c>
      <c r="D59" t="s">
        <v>408</v>
      </c>
      <c r="E59" t="s">
        <v>412</v>
      </c>
      <c r="F59" t="s">
        <v>264</v>
      </c>
      <c r="G59" t="s">
        <v>261</v>
      </c>
      <c r="H59" t="s">
        <v>262</v>
      </c>
      <c r="I59" s="7">
        <v>42018</v>
      </c>
    </row>
    <row r="60" spans="1:9" x14ac:dyDescent="0.25">
      <c r="A60" t="s">
        <v>326</v>
      </c>
      <c r="B60" t="s">
        <v>394</v>
      </c>
      <c r="C60" t="s">
        <v>390</v>
      </c>
      <c r="D60" t="s">
        <v>408</v>
      </c>
      <c r="E60" t="s">
        <v>413</v>
      </c>
      <c r="F60" t="s">
        <v>271</v>
      </c>
      <c r="G60" t="s">
        <v>261</v>
      </c>
      <c r="H60" t="s">
        <v>262</v>
      </c>
      <c r="I60" s="7">
        <v>41060</v>
      </c>
    </row>
    <row r="61" spans="1:9" x14ac:dyDescent="0.25">
      <c r="A61" t="s">
        <v>327</v>
      </c>
      <c r="B61" t="s">
        <v>395</v>
      </c>
      <c r="C61" t="s">
        <v>391</v>
      </c>
      <c r="D61" t="s">
        <v>408</v>
      </c>
      <c r="E61" t="s">
        <v>412</v>
      </c>
      <c r="F61" t="s">
        <v>260</v>
      </c>
      <c r="G61" t="s">
        <v>261</v>
      </c>
      <c r="H61" t="s">
        <v>262</v>
      </c>
      <c r="I61" s="7">
        <v>42612</v>
      </c>
    </row>
    <row r="62" spans="1:9" x14ac:dyDescent="0.25">
      <c r="A62" t="s">
        <v>328</v>
      </c>
      <c r="B62" t="s">
        <v>400</v>
      </c>
      <c r="C62" t="s">
        <v>391</v>
      </c>
      <c r="D62" t="s">
        <v>409</v>
      </c>
      <c r="E62" t="s">
        <v>411</v>
      </c>
      <c r="F62" t="s">
        <v>260</v>
      </c>
      <c r="G62" t="s">
        <v>261</v>
      </c>
      <c r="H62" t="s">
        <v>262</v>
      </c>
      <c r="I62" s="7">
        <v>41787</v>
      </c>
    </row>
    <row r="63" spans="1:9" x14ac:dyDescent="0.25">
      <c r="A63" t="s">
        <v>329</v>
      </c>
      <c r="B63" t="s">
        <v>397</v>
      </c>
      <c r="C63" t="s">
        <v>391</v>
      </c>
      <c r="D63" t="s">
        <v>408</v>
      </c>
      <c r="E63" t="s">
        <v>412</v>
      </c>
      <c r="F63" t="s">
        <v>271</v>
      </c>
      <c r="G63" t="s">
        <v>261</v>
      </c>
      <c r="H63" t="s">
        <v>262</v>
      </c>
      <c r="I63" s="7">
        <v>42472</v>
      </c>
    </row>
    <row r="64" spans="1:9" x14ac:dyDescent="0.25">
      <c r="A64" t="s">
        <v>330</v>
      </c>
      <c r="B64" t="s">
        <v>403</v>
      </c>
      <c r="C64" t="s">
        <v>391</v>
      </c>
      <c r="D64" t="s">
        <v>409</v>
      </c>
      <c r="E64" t="s">
        <v>414</v>
      </c>
      <c r="F64" t="s">
        <v>260</v>
      </c>
      <c r="G64" t="s">
        <v>261</v>
      </c>
      <c r="H64" t="s">
        <v>262</v>
      </c>
      <c r="I64" s="7">
        <v>43529</v>
      </c>
    </row>
    <row r="65" spans="1:9" x14ac:dyDescent="0.25">
      <c r="A65" t="s">
        <v>331</v>
      </c>
      <c r="B65" t="s">
        <v>393</v>
      </c>
      <c r="C65" t="s">
        <v>390</v>
      </c>
      <c r="D65" t="s">
        <v>408</v>
      </c>
      <c r="E65" t="s">
        <v>413</v>
      </c>
      <c r="F65" t="s">
        <v>260</v>
      </c>
      <c r="G65" t="s">
        <v>261</v>
      </c>
      <c r="H65" t="s">
        <v>262</v>
      </c>
      <c r="I65" s="7">
        <v>41060</v>
      </c>
    </row>
    <row r="66" spans="1:9" x14ac:dyDescent="0.25">
      <c r="A66" t="s">
        <v>332</v>
      </c>
      <c r="B66" t="s">
        <v>396</v>
      </c>
      <c r="C66" t="s">
        <v>390</v>
      </c>
      <c r="D66" t="s">
        <v>409</v>
      </c>
      <c r="E66" t="s">
        <v>414</v>
      </c>
      <c r="F66" t="s">
        <v>260</v>
      </c>
      <c r="G66" t="s">
        <v>261</v>
      </c>
      <c r="H66" t="s">
        <v>262</v>
      </c>
      <c r="I66" s="7">
        <v>42220</v>
      </c>
    </row>
    <row r="67" spans="1:9" x14ac:dyDescent="0.25">
      <c r="A67" t="s">
        <v>333</v>
      </c>
      <c r="B67" t="s">
        <v>405</v>
      </c>
      <c r="C67" t="s">
        <v>390</v>
      </c>
      <c r="D67" t="s">
        <v>408</v>
      </c>
      <c r="E67" t="s">
        <v>410</v>
      </c>
      <c r="F67" t="s">
        <v>260</v>
      </c>
      <c r="G67" t="s">
        <v>261</v>
      </c>
      <c r="H67" t="s">
        <v>262</v>
      </c>
      <c r="I67" s="7">
        <v>43472</v>
      </c>
    </row>
    <row r="68" spans="1:9" x14ac:dyDescent="0.25">
      <c r="A68" t="s">
        <v>334</v>
      </c>
      <c r="B68" t="s">
        <v>394</v>
      </c>
      <c r="C68" t="s">
        <v>391</v>
      </c>
      <c r="D68" t="s">
        <v>409</v>
      </c>
      <c r="E68" t="s">
        <v>411</v>
      </c>
      <c r="F68" t="s">
        <v>271</v>
      </c>
      <c r="G68" t="s">
        <v>277</v>
      </c>
      <c r="H68" t="s">
        <v>277</v>
      </c>
      <c r="I68" s="7">
        <v>41060</v>
      </c>
    </row>
    <row r="69" spans="1:9" x14ac:dyDescent="0.25">
      <c r="A69" t="s">
        <v>335</v>
      </c>
      <c r="B69" t="s">
        <v>393</v>
      </c>
      <c r="C69" t="s">
        <v>390</v>
      </c>
      <c r="D69" t="s">
        <v>409</v>
      </c>
      <c r="E69" t="s">
        <v>414</v>
      </c>
      <c r="F69" t="s">
        <v>271</v>
      </c>
      <c r="G69" t="s">
        <v>261</v>
      </c>
      <c r="H69" t="s">
        <v>262</v>
      </c>
      <c r="I69" s="7">
        <v>41745</v>
      </c>
    </row>
    <row r="70" spans="1:9" x14ac:dyDescent="0.25">
      <c r="A70" t="s">
        <v>336</v>
      </c>
      <c r="B70" t="s">
        <v>395</v>
      </c>
      <c r="C70" t="s">
        <v>390</v>
      </c>
      <c r="D70" t="s">
        <v>409</v>
      </c>
      <c r="E70" t="s">
        <v>414</v>
      </c>
      <c r="F70" t="s">
        <v>271</v>
      </c>
      <c r="G70" t="s">
        <v>261</v>
      </c>
      <c r="H70" t="s">
        <v>262</v>
      </c>
      <c r="I70" s="7">
        <v>42780</v>
      </c>
    </row>
    <row r="71" spans="1:9" x14ac:dyDescent="0.25">
      <c r="A71" t="s">
        <v>337</v>
      </c>
      <c r="B71" t="s">
        <v>403</v>
      </c>
      <c r="C71" t="s">
        <v>390</v>
      </c>
      <c r="D71" t="s">
        <v>408</v>
      </c>
      <c r="E71" t="s">
        <v>413</v>
      </c>
      <c r="F71" t="s">
        <v>271</v>
      </c>
      <c r="G71" t="s">
        <v>261</v>
      </c>
      <c r="H71" t="s">
        <v>262</v>
      </c>
      <c r="I71" s="7">
        <v>41215</v>
      </c>
    </row>
    <row r="72" spans="1:9" x14ac:dyDescent="0.25">
      <c r="A72" t="s">
        <v>338</v>
      </c>
      <c r="B72" t="s">
        <v>392</v>
      </c>
      <c r="C72" t="s">
        <v>391</v>
      </c>
      <c r="D72" t="s">
        <v>408</v>
      </c>
      <c r="E72" t="s">
        <v>412</v>
      </c>
      <c r="F72" t="s">
        <v>271</v>
      </c>
      <c r="G72" t="s">
        <v>261</v>
      </c>
      <c r="H72" t="s">
        <v>262</v>
      </c>
      <c r="I72" s="7">
        <v>42095</v>
      </c>
    </row>
    <row r="73" spans="1:9" x14ac:dyDescent="0.25">
      <c r="A73" t="s">
        <v>339</v>
      </c>
      <c r="B73" t="s">
        <v>400</v>
      </c>
      <c r="C73" t="s">
        <v>390</v>
      </c>
      <c r="D73" t="s">
        <v>408</v>
      </c>
      <c r="E73" t="s">
        <v>413</v>
      </c>
      <c r="F73" t="s">
        <v>260</v>
      </c>
      <c r="G73" t="s">
        <v>261</v>
      </c>
      <c r="H73" t="s">
        <v>262</v>
      </c>
      <c r="I73" s="7">
        <v>41549</v>
      </c>
    </row>
    <row r="74" spans="1:9" x14ac:dyDescent="0.25">
      <c r="A74" t="s">
        <v>340</v>
      </c>
      <c r="B74" t="s">
        <v>405</v>
      </c>
      <c r="C74" t="s">
        <v>391</v>
      </c>
      <c r="D74" t="s">
        <v>409</v>
      </c>
      <c r="E74" t="s">
        <v>411</v>
      </c>
      <c r="F74" t="s">
        <v>264</v>
      </c>
      <c r="G74" t="s">
        <v>261</v>
      </c>
      <c r="H74" t="s">
        <v>262</v>
      </c>
      <c r="I74" s="7">
        <v>43507</v>
      </c>
    </row>
    <row r="75" spans="1:9" x14ac:dyDescent="0.25">
      <c r="A75" t="s">
        <v>341</v>
      </c>
      <c r="B75" t="s">
        <v>405</v>
      </c>
      <c r="C75" t="s">
        <v>391</v>
      </c>
      <c r="D75" t="s">
        <v>409</v>
      </c>
      <c r="E75" t="s">
        <v>411</v>
      </c>
      <c r="F75" t="s">
        <v>260</v>
      </c>
      <c r="G75" t="s">
        <v>261</v>
      </c>
      <c r="H75" t="s">
        <v>262</v>
      </c>
      <c r="I75" s="7">
        <v>44362</v>
      </c>
    </row>
    <row r="76" spans="1:9" x14ac:dyDescent="0.25">
      <c r="A76" t="s">
        <v>342</v>
      </c>
      <c r="B76" t="s">
        <v>397</v>
      </c>
      <c r="C76" t="s">
        <v>390</v>
      </c>
      <c r="D76" t="s">
        <v>408</v>
      </c>
      <c r="E76" t="s">
        <v>410</v>
      </c>
      <c r="F76" t="s">
        <v>260</v>
      </c>
      <c r="G76" t="s">
        <v>261</v>
      </c>
      <c r="H76" t="s">
        <v>262</v>
      </c>
      <c r="I76" s="7">
        <v>43886</v>
      </c>
    </row>
    <row r="77" spans="1:9" x14ac:dyDescent="0.25">
      <c r="A77" t="s">
        <v>343</v>
      </c>
      <c r="B77" t="s">
        <v>397</v>
      </c>
      <c r="C77" t="s">
        <v>390</v>
      </c>
      <c r="D77" t="s">
        <v>408</v>
      </c>
      <c r="E77" t="s">
        <v>413</v>
      </c>
      <c r="F77" t="s">
        <v>260</v>
      </c>
      <c r="G77" t="s">
        <v>261</v>
      </c>
      <c r="H77" t="s">
        <v>262</v>
      </c>
      <c r="I77" s="7">
        <v>41381</v>
      </c>
    </row>
    <row r="78" spans="1:9" x14ac:dyDescent="0.25">
      <c r="A78" t="s">
        <v>344</v>
      </c>
      <c r="B78" t="s">
        <v>396</v>
      </c>
      <c r="C78" t="s">
        <v>391</v>
      </c>
      <c r="D78" t="s">
        <v>408</v>
      </c>
      <c r="E78" t="s">
        <v>412</v>
      </c>
      <c r="F78" t="s">
        <v>271</v>
      </c>
      <c r="G78" t="s">
        <v>277</v>
      </c>
      <c r="H78" t="s">
        <v>277</v>
      </c>
      <c r="I78" s="7">
        <v>41318</v>
      </c>
    </row>
    <row r="79" spans="1:9" x14ac:dyDescent="0.25">
      <c r="A79" t="s">
        <v>345</v>
      </c>
      <c r="B79" t="s">
        <v>392</v>
      </c>
      <c r="C79" t="s">
        <v>390</v>
      </c>
      <c r="D79" t="s">
        <v>408</v>
      </c>
      <c r="E79" t="s">
        <v>413</v>
      </c>
      <c r="F79" t="s">
        <v>260</v>
      </c>
      <c r="G79" t="s">
        <v>277</v>
      </c>
      <c r="H79" t="s">
        <v>277</v>
      </c>
      <c r="I79" s="7">
        <v>41676</v>
      </c>
    </row>
    <row r="80" spans="1:9" x14ac:dyDescent="0.25">
      <c r="A80" t="s">
        <v>346</v>
      </c>
      <c r="B80" t="s">
        <v>392</v>
      </c>
      <c r="C80" t="s">
        <v>390</v>
      </c>
      <c r="D80" t="s">
        <v>408</v>
      </c>
      <c r="E80" t="s">
        <v>410</v>
      </c>
      <c r="F80" t="s">
        <v>271</v>
      </c>
      <c r="G80" t="s">
        <v>261</v>
      </c>
      <c r="H80" t="s">
        <v>262</v>
      </c>
      <c r="I80" s="7">
        <v>42710</v>
      </c>
    </row>
    <row r="81" spans="1:9" x14ac:dyDescent="0.25">
      <c r="A81" t="s">
        <v>347</v>
      </c>
      <c r="B81" t="s">
        <v>400</v>
      </c>
      <c r="C81" t="s">
        <v>391</v>
      </c>
      <c r="D81" t="s">
        <v>409</v>
      </c>
      <c r="E81" t="s">
        <v>411</v>
      </c>
      <c r="F81" t="s">
        <v>260</v>
      </c>
      <c r="G81" t="s">
        <v>261</v>
      </c>
      <c r="H81" t="s">
        <v>262</v>
      </c>
      <c r="I81" s="7">
        <v>41941</v>
      </c>
    </row>
    <row r="82" spans="1:9" x14ac:dyDescent="0.25">
      <c r="A82" t="s">
        <v>348</v>
      </c>
      <c r="B82" t="s">
        <v>397</v>
      </c>
      <c r="C82" t="s">
        <v>391</v>
      </c>
      <c r="D82" t="s">
        <v>409</v>
      </c>
      <c r="E82" t="s">
        <v>411</v>
      </c>
      <c r="F82" t="s">
        <v>271</v>
      </c>
      <c r="G82" t="s">
        <v>261</v>
      </c>
      <c r="H82" t="s">
        <v>262</v>
      </c>
      <c r="I82" s="7">
        <v>41613</v>
      </c>
    </row>
    <row r="83" spans="1:9" x14ac:dyDescent="0.25">
      <c r="A83" t="s">
        <v>349</v>
      </c>
      <c r="B83" t="s">
        <v>403</v>
      </c>
      <c r="C83" t="s">
        <v>390</v>
      </c>
      <c r="D83" t="s">
        <v>408</v>
      </c>
      <c r="E83" t="s">
        <v>410</v>
      </c>
      <c r="F83" t="s">
        <v>271</v>
      </c>
      <c r="G83" t="s">
        <v>261</v>
      </c>
      <c r="H83" t="s">
        <v>262</v>
      </c>
      <c r="I83" s="7">
        <v>41060</v>
      </c>
    </row>
    <row r="84" spans="1:9" x14ac:dyDescent="0.25">
      <c r="A84" t="s">
        <v>350</v>
      </c>
      <c r="B84" t="s">
        <v>406</v>
      </c>
      <c r="C84" t="s">
        <v>391</v>
      </c>
      <c r="D84" t="s">
        <v>409</v>
      </c>
      <c r="E84" t="s">
        <v>411</v>
      </c>
      <c r="F84" t="s">
        <v>260</v>
      </c>
      <c r="G84" t="s">
        <v>261</v>
      </c>
      <c r="H84" t="s">
        <v>262</v>
      </c>
      <c r="I84" s="7">
        <v>43641</v>
      </c>
    </row>
    <row r="85" spans="1:9" x14ac:dyDescent="0.25">
      <c r="A85" t="s">
        <v>351</v>
      </c>
      <c r="B85" t="s">
        <v>396</v>
      </c>
      <c r="C85" t="s">
        <v>390</v>
      </c>
      <c r="D85" t="s">
        <v>408</v>
      </c>
      <c r="E85" t="s">
        <v>410</v>
      </c>
      <c r="F85" t="s">
        <v>264</v>
      </c>
      <c r="G85" t="s">
        <v>261</v>
      </c>
      <c r="H85" t="s">
        <v>262</v>
      </c>
      <c r="I85" s="7">
        <v>41765</v>
      </c>
    </row>
    <row r="86" spans="1:9" x14ac:dyDescent="0.25">
      <c r="A86" t="s">
        <v>352</v>
      </c>
      <c r="B86" t="s">
        <v>407</v>
      </c>
      <c r="C86" t="s">
        <v>390</v>
      </c>
      <c r="D86" t="s">
        <v>408</v>
      </c>
      <c r="E86" t="s">
        <v>413</v>
      </c>
      <c r="F86" t="s">
        <v>260</v>
      </c>
      <c r="G86" t="s">
        <v>261</v>
      </c>
      <c r="H86" t="s">
        <v>262</v>
      </c>
      <c r="I86" s="7">
        <v>43318</v>
      </c>
    </row>
    <row r="87" spans="1:9" x14ac:dyDescent="0.25">
      <c r="A87" t="s">
        <v>353</v>
      </c>
      <c r="B87" t="s">
        <v>392</v>
      </c>
      <c r="C87" t="s">
        <v>391</v>
      </c>
      <c r="D87" t="s">
        <v>409</v>
      </c>
      <c r="E87" t="s">
        <v>411</v>
      </c>
      <c r="F87" t="s">
        <v>264</v>
      </c>
      <c r="G87" t="s">
        <v>261</v>
      </c>
      <c r="H87" t="s">
        <v>262</v>
      </c>
      <c r="I87" s="7">
        <v>43697</v>
      </c>
    </row>
    <row r="88" spans="1:9" x14ac:dyDescent="0.25">
      <c r="A88" t="s">
        <v>354</v>
      </c>
      <c r="B88" t="s">
        <v>392</v>
      </c>
      <c r="C88" t="s">
        <v>391</v>
      </c>
      <c r="D88" t="s">
        <v>409</v>
      </c>
      <c r="E88" t="s">
        <v>411</v>
      </c>
      <c r="F88" t="s">
        <v>271</v>
      </c>
      <c r="G88" t="s">
        <v>261</v>
      </c>
      <c r="H88" t="s">
        <v>262</v>
      </c>
      <c r="I88" s="7">
        <v>41333</v>
      </c>
    </row>
    <row r="89" spans="1:9" x14ac:dyDescent="0.25">
      <c r="A89" t="s">
        <v>355</v>
      </c>
      <c r="B89" t="s">
        <v>396</v>
      </c>
      <c r="C89" t="s">
        <v>391</v>
      </c>
      <c r="D89" t="s">
        <v>409</v>
      </c>
      <c r="E89" t="s">
        <v>411</v>
      </c>
      <c r="F89" t="s">
        <v>260</v>
      </c>
      <c r="G89" t="s">
        <v>277</v>
      </c>
      <c r="H89" t="s">
        <v>277</v>
      </c>
      <c r="I89" s="7">
        <v>41060</v>
      </c>
    </row>
    <row r="90" spans="1:9" x14ac:dyDescent="0.25">
      <c r="A90" t="s">
        <v>356</v>
      </c>
      <c r="B90" t="s">
        <v>395</v>
      </c>
      <c r="C90" t="s">
        <v>391</v>
      </c>
      <c r="D90" t="s">
        <v>409</v>
      </c>
      <c r="E90" t="s">
        <v>411</v>
      </c>
      <c r="F90" t="s">
        <v>260</v>
      </c>
      <c r="G90" t="s">
        <v>261</v>
      </c>
      <c r="H90" t="s">
        <v>262</v>
      </c>
      <c r="I90" s="7">
        <v>42416</v>
      </c>
    </row>
    <row r="91" spans="1:9" x14ac:dyDescent="0.25">
      <c r="A91" t="s">
        <v>357</v>
      </c>
      <c r="B91" t="s">
        <v>393</v>
      </c>
      <c r="C91" t="s">
        <v>391</v>
      </c>
      <c r="D91" t="s">
        <v>408</v>
      </c>
      <c r="E91" t="s">
        <v>412</v>
      </c>
      <c r="F91" t="s">
        <v>260</v>
      </c>
      <c r="G91" t="s">
        <v>261</v>
      </c>
      <c r="H91" t="s">
        <v>262</v>
      </c>
      <c r="I91" s="7">
        <v>41814</v>
      </c>
    </row>
    <row r="92" spans="1:9" x14ac:dyDescent="0.25">
      <c r="A92" t="s">
        <v>358</v>
      </c>
      <c r="B92" t="s">
        <v>403</v>
      </c>
      <c r="C92" t="s">
        <v>390</v>
      </c>
      <c r="D92" t="s">
        <v>408</v>
      </c>
      <c r="E92" t="s">
        <v>413</v>
      </c>
      <c r="F92" t="s">
        <v>271</v>
      </c>
      <c r="G92" t="s">
        <v>261</v>
      </c>
      <c r="H92" t="s">
        <v>262</v>
      </c>
      <c r="I92" s="7">
        <v>42157</v>
      </c>
    </row>
    <row r="93" spans="1:9" x14ac:dyDescent="0.25">
      <c r="A93" t="s">
        <v>359</v>
      </c>
      <c r="B93" t="s">
        <v>393</v>
      </c>
      <c r="C93" t="s">
        <v>390</v>
      </c>
      <c r="D93" t="s">
        <v>408</v>
      </c>
      <c r="E93" t="s">
        <v>413</v>
      </c>
      <c r="F93" t="s">
        <v>260</v>
      </c>
      <c r="G93" t="s">
        <v>261</v>
      </c>
      <c r="H93" t="s">
        <v>262</v>
      </c>
      <c r="I93" s="7">
        <v>42185</v>
      </c>
    </row>
    <row r="94" spans="1:9" x14ac:dyDescent="0.25">
      <c r="A94" t="s">
        <v>360</v>
      </c>
      <c r="B94" t="s">
        <v>392</v>
      </c>
      <c r="C94" t="s">
        <v>391</v>
      </c>
      <c r="D94" t="s">
        <v>409</v>
      </c>
      <c r="E94" t="s">
        <v>411</v>
      </c>
      <c r="F94" t="s">
        <v>271</v>
      </c>
      <c r="G94" t="s">
        <v>261</v>
      </c>
      <c r="H94" t="s">
        <v>262</v>
      </c>
      <c r="I94" s="7">
        <v>41703</v>
      </c>
    </row>
    <row r="95" spans="1:9" x14ac:dyDescent="0.25">
      <c r="A95" t="s">
        <v>361</v>
      </c>
      <c r="B95" t="s">
        <v>396</v>
      </c>
      <c r="C95" t="s">
        <v>390</v>
      </c>
      <c r="D95" t="s">
        <v>408</v>
      </c>
      <c r="E95" t="s">
        <v>413</v>
      </c>
      <c r="F95" t="s">
        <v>260</v>
      </c>
      <c r="G95" t="s">
        <v>261</v>
      </c>
      <c r="H95" t="s">
        <v>262</v>
      </c>
      <c r="I95" s="7">
        <v>41835</v>
      </c>
    </row>
    <row r="96" spans="1:9" x14ac:dyDescent="0.25">
      <c r="A96" t="s">
        <v>362</v>
      </c>
      <c r="B96" t="s">
        <v>396</v>
      </c>
      <c r="C96" t="s">
        <v>390</v>
      </c>
      <c r="D96" t="s">
        <v>408</v>
      </c>
      <c r="E96" t="s">
        <v>413</v>
      </c>
      <c r="F96" t="s">
        <v>260</v>
      </c>
      <c r="G96" t="s">
        <v>261</v>
      </c>
      <c r="H96" t="s">
        <v>262</v>
      </c>
      <c r="I96" s="7">
        <v>43585</v>
      </c>
    </row>
    <row r="97" spans="1:9" x14ac:dyDescent="0.25">
      <c r="A97" t="s">
        <v>363</v>
      </c>
      <c r="B97" t="s">
        <v>393</v>
      </c>
      <c r="C97" t="s">
        <v>390</v>
      </c>
      <c r="D97" t="s">
        <v>408</v>
      </c>
      <c r="E97" t="s">
        <v>410</v>
      </c>
      <c r="F97" t="s">
        <v>260</v>
      </c>
      <c r="G97" t="s">
        <v>261</v>
      </c>
      <c r="H97" t="s">
        <v>262</v>
      </c>
      <c r="I97" s="7">
        <v>44614</v>
      </c>
    </row>
    <row r="98" spans="1:9" x14ac:dyDescent="0.25">
      <c r="A98" t="s">
        <v>364</v>
      </c>
      <c r="B98" t="s">
        <v>403</v>
      </c>
      <c r="C98" t="s">
        <v>391</v>
      </c>
      <c r="D98" t="s">
        <v>408</v>
      </c>
      <c r="E98" t="s">
        <v>412</v>
      </c>
      <c r="F98" t="s">
        <v>264</v>
      </c>
      <c r="G98" t="s">
        <v>261</v>
      </c>
      <c r="H98" t="s">
        <v>262</v>
      </c>
      <c r="I98" s="7">
        <v>42444</v>
      </c>
    </row>
    <row r="99" spans="1:9" x14ac:dyDescent="0.25">
      <c r="A99" t="s">
        <v>365</v>
      </c>
      <c r="B99" t="s">
        <v>396</v>
      </c>
      <c r="C99" t="s">
        <v>390</v>
      </c>
      <c r="D99" t="s">
        <v>409</v>
      </c>
      <c r="E99" t="s">
        <v>414</v>
      </c>
      <c r="F99" t="s">
        <v>271</v>
      </c>
      <c r="G99" t="s">
        <v>261</v>
      </c>
      <c r="H99" t="s">
        <v>262</v>
      </c>
      <c r="I99" s="7">
        <v>41060</v>
      </c>
    </row>
    <row r="100" spans="1:9" x14ac:dyDescent="0.25">
      <c r="A100" t="s">
        <v>366</v>
      </c>
      <c r="B100" t="s">
        <v>403</v>
      </c>
      <c r="C100" t="s">
        <v>391</v>
      </c>
      <c r="D100" t="s">
        <v>409</v>
      </c>
      <c r="E100" t="s">
        <v>411</v>
      </c>
      <c r="F100" t="s">
        <v>264</v>
      </c>
      <c r="G100" t="s">
        <v>261</v>
      </c>
      <c r="H100" t="s">
        <v>262</v>
      </c>
      <c r="I100" s="7">
        <v>42283</v>
      </c>
    </row>
    <row r="101" spans="1:9" x14ac:dyDescent="0.25">
      <c r="A101" t="s">
        <v>367</v>
      </c>
      <c r="B101" t="s">
        <v>397</v>
      </c>
      <c r="C101" t="s">
        <v>390</v>
      </c>
      <c r="D101" t="s">
        <v>408</v>
      </c>
      <c r="E101" t="s">
        <v>410</v>
      </c>
      <c r="F101" t="s">
        <v>260</v>
      </c>
      <c r="G101" t="s">
        <v>261</v>
      </c>
      <c r="H101" t="s">
        <v>262</v>
      </c>
      <c r="I101" s="7">
        <v>41570</v>
      </c>
    </row>
    <row r="102" spans="1:9" x14ac:dyDescent="0.25">
      <c r="A102" t="s">
        <v>368</v>
      </c>
      <c r="B102" t="s">
        <v>395</v>
      </c>
      <c r="C102" t="s">
        <v>390</v>
      </c>
      <c r="D102" t="s">
        <v>408</v>
      </c>
      <c r="E102" t="s">
        <v>413</v>
      </c>
      <c r="F102" t="s">
        <v>264</v>
      </c>
      <c r="G102" t="s">
        <v>261</v>
      </c>
      <c r="H102" t="s">
        <v>262</v>
      </c>
      <c r="I102" s="7">
        <v>42500</v>
      </c>
    </row>
    <row r="103" spans="1:9" x14ac:dyDescent="0.25">
      <c r="A103" t="s">
        <v>369</v>
      </c>
      <c r="B103" t="s">
        <v>400</v>
      </c>
      <c r="C103" t="s">
        <v>391</v>
      </c>
      <c r="D103" t="s">
        <v>409</v>
      </c>
      <c r="E103" t="s">
        <v>414</v>
      </c>
      <c r="F103" t="s">
        <v>260</v>
      </c>
      <c r="G103" t="s">
        <v>261</v>
      </c>
      <c r="H103" t="s">
        <v>262</v>
      </c>
      <c r="I103" s="7">
        <v>41913</v>
      </c>
    </row>
    <row r="104" spans="1:9" x14ac:dyDescent="0.25">
      <c r="A104" t="s">
        <v>370</v>
      </c>
      <c r="B104" t="s">
        <v>400</v>
      </c>
      <c r="C104" t="s">
        <v>390</v>
      </c>
      <c r="D104" t="s">
        <v>409</v>
      </c>
      <c r="E104" t="s">
        <v>414</v>
      </c>
      <c r="F104" t="s">
        <v>264</v>
      </c>
      <c r="G104" t="s">
        <v>261</v>
      </c>
      <c r="H104" t="s">
        <v>262</v>
      </c>
      <c r="I104" s="7">
        <v>42584</v>
      </c>
    </row>
    <row r="105" spans="1:9" x14ac:dyDescent="0.25">
      <c r="A105" t="s">
        <v>371</v>
      </c>
      <c r="B105" t="s">
        <v>392</v>
      </c>
      <c r="C105" t="s">
        <v>390</v>
      </c>
      <c r="D105" t="s">
        <v>408</v>
      </c>
      <c r="E105" t="s">
        <v>413</v>
      </c>
      <c r="F105" t="s">
        <v>260</v>
      </c>
      <c r="G105" t="s">
        <v>261</v>
      </c>
      <c r="H105" t="s">
        <v>262</v>
      </c>
      <c r="I105" s="7">
        <v>41535</v>
      </c>
    </row>
    <row r="106" spans="1:9" x14ac:dyDescent="0.25">
      <c r="A106" t="s">
        <v>372</v>
      </c>
      <c r="B106" t="s">
        <v>398</v>
      </c>
      <c r="C106" t="s">
        <v>391</v>
      </c>
      <c r="D106" t="s">
        <v>409</v>
      </c>
      <c r="E106" t="s">
        <v>411</v>
      </c>
      <c r="F106" t="s">
        <v>373</v>
      </c>
      <c r="G106" t="s">
        <v>261</v>
      </c>
      <c r="H106" t="s">
        <v>262</v>
      </c>
      <c r="I106" s="7">
        <v>42745</v>
      </c>
    </row>
    <row r="107" spans="1:9" x14ac:dyDescent="0.25">
      <c r="A107" t="s">
        <v>374</v>
      </c>
      <c r="B107" t="s">
        <v>403</v>
      </c>
      <c r="C107" t="s">
        <v>390</v>
      </c>
      <c r="D107" t="s">
        <v>408</v>
      </c>
      <c r="E107" t="s">
        <v>413</v>
      </c>
      <c r="F107" t="s">
        <v>264</v>
      </c>
      <c r="G107" t="s">
        <v>277</v>
      </c>
      <c r="H107" t="s">
        <v>277</v>
      </c>
      <c r="I107" s="7">
        <v>41158</v>
      </c>
    </row>
    <row r="108" spans="1:9" x14ac:dyDescent="0.25">
      <c r="A108" t="s">
        <v>375</v>
      </c>
      <c r="B108" t="s">
        <v>396</v>
      </c>
      <c r="C108" t="s">
        <v>391</v>
      </c>
      <c r="D108" t="s">
        <v>409</v>
      </c>
      <c r="E108" t="s">
        <v>411</v>
      </c>
      <c r="F108" t="s">
        <v>260</v>
      </c>
      <c r="G108" t="s">
        <v>261</v>
      </c>
      <c r="H108" t="s">
        <v>262</v>
      </c>
      <c r="I108" s="7">
        <v>42682</v>
      </c>
    </row>
    <row r="109" spans="1:9" x14ac:dyDescent="0.25">
      <c r="A109" t="s">
        <v>376</v>
      </c>
      <c r="B109" t="s">
        <v>404</v>
      </c>
      <c r="C109" t="s">
        <v>391</v>
      </c>
      <c r="D109" t="s">
        <v>409</v>
      </c>
      <c r="E109" t="s">
        <v>411</v>
      </c>
      <c r="F109" t="s">
        <v>264</v>
      </c>
      <c r="G109" t="s">
        <v>261</v>
      </c>
      <c r="H109" t="s">
        <v>262</v>
      </c>
      <c r="I109" s="7">
        <v>44250</v>
      </c>
    </row>
    <row r="110" spans="1:9" x14ac:dyDescent="0.25">
      <c r="A110" t="s">
        <v>377</v>
      </c>
      <c r="B110" t="s">
        <v>395</v>
      </c>
      <c r="C110" t="s">
        <v>390</v>
      </c>
      <c r="D110" t="s">
        <v>408</v>
      </c>
      <c r="E110" t="s">
        <v>413</v>
      </c>
      <c r="F110" t="s">
        <v>260</v>
      </c>
      <c r="G110" t="s">
        <v>261</v>
      </c>
      <c r="H110" t="s">
        <v>262</v>
      </c>
      <c r="I110" s="7">
        <v>44054</v>
      </c>
    </row>
    <row r="111" spans="1:9" x14ac:dyDescent="0.25">
      <c r="A111" t="s">
        <v>378</v>
      </c>
      <c r="B111" t="s">
        <v>403</v>
      </c>
      <c r="C111" t="s">
        <v>390</v>
      </c>
      <c r="D111" t="s">
        <v>408</v>
      </c>
      <c r="E111" t="s">
        <v>410</v>
      </c>
      <c r="F111" t="s">
        <v>264</v>
      </c>
      <c r="G111" t="s">
        <v>261</v>
      </c>
      <c r="H111" t="s">
        <v>262</v>
      </c>
      <c r="I111" s="7">
        <v>41493</v>
      </c>
    </row>
    <row r="112" spans="1:9" x14ac:dyDescent="0.25">
      <c r="A112" t="s">
        <v>379</v>
      </c>
      <c r="B112" t="s">
        <v>403</v>
      </c>
      <c r="C112" t="s">
        <v>391</v>
      </c>
      <c r="D112" t="s">
        <v>408</v>
      </c>
      <c r="E112" t="s">
        <v>412</v>
      </c>
      <c r="F112" t="s">
        <v>264</v>
      </c>
      <c r="G112" t="s">
        <v>261</v>
      </c>
      <c r="H112" t="s">
        <v>262</v>
      </c>
      <c r="I112" s="7">
        <v>41717</v>
      </c>
    </row>
    <row r="113" spans="1:9" x14ac:dyDescent="0.25">
      <c r="A113" t="s">
        <v>380</v>
      </c>
      <c r="B113" t="s">
        <v>393</v>
      </c>
      <c r="C113" t="s">
        <v>390</v>
      </c>
      <c r="D113" t="s">
        <v>408</v>
      </c>
      <c r="E113" t="s">
        <v>410</v>
      </c>
      <c r="F113" t="s">
        <v>260</v>
      </c>
      <c r="G113" t="s">
        <v>261</v>
      </c>
      <c r="H113" t="s">
        <v>262</v>
      </c>
      <c r="I113" s="7">
        <v>41060</v>
      </c>
    </row>
    <row r="114" spans="1:9" x14ac:dyDescent="0.25">
      <c r="A114" t="s">
        <v>381</v>
      </c>
      <c r="B114" t="s">
        <v>400</v>
      </c>
      <c r="C114" t="s">
        <v>391</v>
      </c>
      <c r="D114" t="s">
        <v>409</v>
      </c>
      <c r="E114" t="s">
        <v>411</v>
      </c>
      <c r="F114" t="s">
        <v>260</v>
      </c>
      <c r="G114" t="s">
        <v>261</v>
      </c>
      <c r="H114" t="s">
        <v>262</v>
      </c>
      <c r="I114" s="7">
        <v>41304</v>
      </c>
    </row>
    <row r="115" spans="1:9" x14ac:dyDescent="0.25">
      <c r="A115" t="s">
        <v>382</v>
      </c>
      <c r="B115" t="s">
        <v>394</v>
      </c>
      <c r="C115" t="s">
        <v>391</v>
      </c>
      <c r="D115" t="s">
        <v>408</v>
      </c>
      <c r="E115" t="s">
        <v>412</v>
      </c>
      <c r="F115" t="s">
        <v>260</v>
      </c>
      <c r="G115" t="s">
        <v>261</v>
      </c>
      <c r="H115" t="s">
        <v>262</v>
      </c>
      <c r="I115" s="7">
        <v>41264</v>
      </c>
    </row>
    <row r="116" spans="1:9" x14ac:dyDescent="0.25">
      <c r="A116" t="s">
        <v>383</v>
      </c>
      <c r="B116" t="s">
        <v>397</v>
      </c>
      <c r="C116" t="s">
        <v>390</v>
      </c>
      <c r="D116" t="s">
        <v>409</v>
      </c>
      <c r="E116" t="s">
        <v>414</v>
      </c>
      <c r="F116" t="s">
        <v>260</v>
      </c>
      <c r="G116" t="s">
        <v>261</v>
      </c>
      <c r="H116" t="s">
        <v>262</v>
      </c>
      <c r="I116" s="7">
        <v>42248</v>
      </c>
    </row>
    <row r="117" spans="1:9" x14ac:dyDescent="0.25">
      <c r="A117" t="s">
        <v>384</v>
      </c>
      <c r="B117" t="s">
        <v>406</v>
      </c>
      <c r="C117" t="s">
        <v>391</v>
      </c>
      <c r="D117" t="s">
        <v>409</v>
      </c>
      <c r="E117" t="s">
        <v>414</v>
      </c>
      <c r="F117" t="s">
        <v>260</v>
      </c>
      <c r="G117" t="s">
        <v>261</v>
      </c>
      <c r="H117" t="s">
        <v>262</v>
      </c>
      <c r="I117" s="7">
        <v>43753</v>
      </c>
    </row>
    <row r="118" spans="1:9" x14ac:dyDescent="0.25">
      <c r="A118" t="s">
        <v>385</v>
      </c>
      <c r="B118" t="s">
        <v>403</v>
      </c>
      <c r="C118" t="s">
        <v>390</v>
      </c>
      <c r="D118" t="s">
        <v>409</v>
      </c>
      <c r="E118" t="s">
        <v>414</v>
      </c>
      <c r="F118" t="s">
        <v>271</v>
      </c>
      <c r="G118" t="s">
        <v>277</v>
      </c>
      <c r="H118" t="s">
        <v>277</v>
      </c>
      <c r="I118" s="7">
        <v>41060</v>
      </c>
    </row>
    <row r="119" spans="1:9" x14ac:dyDescent="0.25">
      <c r="A119" t="s">
        <v>386</v>
      </c>
      <c r="B119" t="s">
        <v>397</v>
      </c>
      <c r="C119" t="s">
        <v>391</v>
      </c>
      <c r="D119" t="s">
        <v>409</v>
      </c>
      <c r="E119" t="s">
        <v>411</v>
      </c>
      <c r="F119" t="s">
        <v>260</v>
      </c>
      <c r="G119" t="s">
        <v>387</v>
      </c>
      <c r="H119" t="s">
        <v>262</v>
      </c>
      <c r="I119" s="7">
        <v>44670</v>
      </c>
    </row>
    <row r="120" spans="1:9" x14ac:dyDescent="0.25">
      <c r="A120" t="s">
        <v>388</v>
      </c>
      <c r="B120" t="s">
        <v>392</v>
      </c>
      <c r="C120" t="s">
        <v>391</v>
      </c>
      <c r="D120" t="s">
        <v>409</v>
      </c>
      <c r="E120" t="s">
        <v>411</v>
      </c>
      <c r="F120" t="s">
        <v>260</v>
      </c>
      <c r="G120" t="s">
        <v>261</v>
      </c>
      <c r="H120" t="s">
        <v>262</v>
      </c>
      <c r="I120" s="7">
        <v>41060</v>
      </c>
    </row>
    <row r="121" spans="1:9" x14ac:dyDescent="0.25">
      <c r="A121" t="s">
        <v>389</v>
      </c>
      <c r="B121" t="s">
        <v>397</v>
      </c>
      <c r="C121" t="s">
        <v>391</v>
      </c>
      <c r="D121" t="s">
        <v>409</v>
      </c>
      <c r="E121" t="s">
        <v>411</v>
      </c>
      <c r="F121" t="s">
        <v>271</v>
      </c>
      <c r="G121" t="s">
        <v>261</v>
      </c>
      <c r="H121" t="s">
        <v>262</v>
      </c>
      <c r="I121" s="7">
        <v>41514</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51A3-853E-4335-B3E3-C5375DAD2E42}">
  <sheetPr codeName="Sheet1"/>
  <dimension ref="A1:C968"/>
  <sheetViews>
    <sheetView topLeftCell="A31" zoomScale="226" zoomScaleNormal="226" workbookViewId="0">
      <selection activeCell="A48" sqref="A48"/>
    </sheetView>
  </sheetViews>
  <sheetFormatPr defaultRowHeight="15" x14ac:dyDescent="0.25"/>
  <cols>
    <col min="1" max="1" width="15.42578125" bestFit="1" customWidth="1"/>
    <col min="3" max="3" width="18.5703125" bestFit="1" customWidth="1"/>
  </cols>
  <sheetData>
    <row r="1" spans="1:3" x14ac:dyDescent="0.25">
      <c r="A1" t="s">
        <v>244</v>
      </c>
    </row>
    <row r="2" spans="1:3" x14ac:dyDescent="0.25">
      <c r="A2" t="s">
        <v>0</v>
      </c>
    </row>
    <row r="3" spans="1:3" x14ac:dyDescent="0.25">
      <c r="A3" t="s">
        <v>1</v>
      </c>
    </row>
    <row r="4" spans="1:3" x14ac:dyDescent="0.25">
      <c r="A4" t="s">
        <v>2</v>
      </c>
    </row>
    <row r="5" spans="1:3" x14ac:dyDescent="0.25">
      <c r="A5" t="s">
        <v>3</v>
      </c>
    </row>
    <row r="6" spans="1:3" x14ac:dyDescent="0.25">
      <c r="A6" t="s">
        <v>4</v>
      </c>
    </row>
    <row r="7" spans="1:3" x14ac:dyDescent="0.25">
      <c r="A7" t="s">
        <v>5</v>
      </c>
    </row>
    <row r="8" spans="1:3" ht="15.75" x14ac:dyDescent="0.25">
      <c r="A8" t="s">
        <v>6</v>
      </c>
      <c r="C8" s="3"/>
    </row>
    <row r="9" spans="1:3" ht="15.75" x14ac:dyDescent="0.25">
      <c r="A9" t="s">
        <v>7</v>
      </c>
      <c r="C9" s="3"/>
    </row>
    <row r="10" spans="1:3" ht="15.75" x14ac:dyDescent="0.25">
      <c r="A10" t="s">
        <v>8</v>
      </c>
      <c r="C10" s="3"/>
    </row>
    <row r="11" spans="1:3" ht="15.75" x14ac:dyDescent="0.25">
      <c r="A11" s="1">
        <v>0.56599999999999995</v>
      </c>
      <c r="C11" s="3"/>
    </row>
    <row r="12" spans="1:3" x14ac:dyDescent="0.25">
      <c r="A12">
        <v>14234</v>
      </c>
    </row>
    <row r="13" spans="1:3" x14ac:dyDescent="0.25">
      <c r="A13">
        <v>2.15</v>
      </c>
    </row>
    <row r="14" spans="1:3" x14ac:dyDescent="0.25">
      <c r="A14">
        <v>17094</v>
      </c>
    </row>
    <row r="15" spans="1:3" x14ac:dyDescent="0.25">
      <c r="A15">
        <v>33</v>
      </c>
    </row>
    <row r="16" spans="1:3" x14ac:dyDescent="0.25">
      <c r="A16">
        <v>13393</v>
      </c>
    </row>
    <row r="17" spans="1:1" x14ac:dyDescent="0.25">
      <c r="A17" t="s">
        <v>9</v>
      </c>
    </row>
    <row r="18" spans="1:1" x14ac:dyDescent="0.25">
      <c r="A18" t="s">
        <v>10</v>
      </c>
    </row>
    <row r="19" spans="1:1" x14ac:dyDescent="0.25">
      <c r="A19" s="1">
        <v>0.5504</v>
      </c>
    </row>
    <row r="20" spans="1:1" x14ac:dyDescent="0.25">
      <c r="A20">
        <v>10382</v>
      </c>
    </row>
    <row r="21" spans="1:1" x14ac:dyDescent="0.25">
      <c r="A21">
        <v>1.76</v>
      </c>
    </row>
    <row r="22" spans="1:1" x14ac:dyDescent="0.25">
      <c r="A22">
        <v>24012</v>
      </c>
    </row>
    <row r="23" spans="1:1" x14ac:dyDescent="0.25">
      <c r="A23">
        <v>169</v>
      </c>
    </row>
    <row r="24" spans="1:1" x14ac:dyDescent="0.25">
      <c r="A24">
        <v>6133</v>
      </c>
    </row>
    <row r="25" spans="1:1" x14ac:dyDescent="0.25">
      <c r="A25" t="s">
        <v>11</v>
      </c>
    </row>
    <row r="26" spans="1:1" x14ac:dyDescent="0.25">
      <c r="A26" t="s">
        <v>12</v>
      </c>
    </row>
    <row r="27" spans="1:1" x14ac:dyDescent="0.25">
      <c r="A27" s="1">
        <v>0.5504</v>
      </c>
    </row>
    <row r="28" spans="1:1" x14ac:dyDescent="0.25">
      <c r="A28">
        <v>7693</v>
      </c>
    </row>
    <row r="29" spans="1:1" x14ac:dyDescent="0.25">
      <c r="A29">
        <v>1.7</v>
      </c>
    </row>
    <row r="30" spans="1:1" x14ac:dyDescent="0.25">
      <c r="A30">
        <v>19638</v>
      </c>
    </row>
    <row r="31" spans="1:1" x14ac:dyDescent="0.25">
      <c r="A31">
        <v>30</v>
      </c>
    </row>
    <row r="32" spans="1:1" x14ac:dyDescent="0.25">
      <c r="A32">
        <v>8084</v>
      </c>
    </row>
    <row r="33" spans="1:1" x14ac:dyDescent="0.25">
      <c r="A33" t="s">
        <v>13</v>
      </c>
    </row>
    <row r="34" spans="1:1" x14ac:dyDescent="0.25">
      <c r="A34" t="s">
        <v>14</v>
      </c>
    </row>
    <row r="35" spans="1:1" x14ac:dyDescent="0.25">
      <c r="A35" s="1">
        <v>0.5474</v>
      </c>
    </row>
    <row r="36" spans="1:1" x14ac:dyDescent="0.25">
      <c r="A36">
        <v>5855</v>
      </c>
    </row>
    <row r="37" spans="1:1" x14ac:dyDescent="0.25">
      <c r="A37">
        <v>1.58</v>
      </c>
    </row>
    <row r="38" spans="1:1" x14ac:dyDescent="0.25">
      <c r="A38">
        <v>14564</v>
      </c>
    </row>
    <row r="39" spans="1:1" x14ac:dyDescent="0.25">
      <c r="A39">
        <v>1457</v>
      </c>
    </row>
    <row r="40" spans="1:1" x14ac:dyDescent="0.25">
      <c r="A40">
        <v>13921</v>
      </c>
    </row>
    <row r="41" spans="1:1" x14ac:dyDescent="0.25">
      <c r="A41" t="s">
        <v>15</v>
      </c>
    </row>
    <row r="42" spans="1:1" x14ac:dyDescent="0.25">
      <c r="A42" t="s">
        <v>16</v>
      </c>
    </row>
    <row r="43" spans="1:1" x14ac:dyDescent="0.25">
      <c r="A43" s="1">
        <v>0.54400000000000004</v>
      </c>
    </row>
    <row r="44" spans="1:1" x14ac:dyDescent="0.25">
      <c r="A44">
        <v>18497</v>
      </c>
    </row>
    <row r="45" spans="1:1" x14ac:dyDescent="0.25">
      <c r="A45">
        <v>1.85</v>
      </c>
    </row>
    <row r="46" spans="1:1" x14ac:dyDescent="0.25">
      <c r="A46">
        <v>16567</v>
      </c>
    </row>
    <row r="47" spans="1:1" x14ac:dyDescent="0.25">
      <c r="A47">
        <v>63</v>
      </c>
    </row>
    <row r="48" spans="1:1" x14ac:dyDescent="0.25">
      <c r="A48">
        <v>29968</v>
      </c>
    </row>
    <row r="49" spans="1:1" x14ac:dyDescent="0.25">
      <c r="A49" t="s">
        <v>17</v>
      </c>
    </row>
    <row r="50" spans="1:1" x14ac:dyDescent="0.25">
      <c r="A50" t="s">
        <v>18</v>
      </c>
    </row>
    <row r="51" spans="1:1" x14ac:dyDescent="0.25">
      <c r="A51" s="1">
        <v>0.54390000000000005</v>
      </c>
    </row>
    <row r="52" spans="1:1" x14ac:dyDescent="0.25">
      <c r="A52">
        <v>8385</v>
      </c>
    </row>
    <row r="53" spans="1:1" x14ac:dyDescent="0.25">
      <c r="A53">
        <v>1.96</v>
      </c>
    </row>
    <row r="54" spans="1:1" x14ac:dyDescent="0.25">
      <c r="A54">
        <v>18209</v>
      </c>
    </row>
    <row r="55" spans="1:1" x14ac:dyDescent="0.25">
      <c r="A55">
        <v>18</v>
      </c>
    </row>
    <row r="56" spans="1:1" x14ac:dyDescent="0.25">
      <c r="A56">
        <v>14526</v>
      </c>
    </row>
    <row r="57" spans="1:1" x14ac:dyDescent="0.25">
      <c r="A57" t="s">
        <v>19</v>
      </c>
    </row>
    <row r="58" spans="1:1" x14ac:dyDescent="0.25">
      <c r="A58" t="s">
        <v>20</v>
      </c>
    </row>
    <row r="59" spans="1:1" x14ac:dyDescent="0.25">
      <c r="A59" s="1">
        <v>0.54379999999999995</v>
      </c>
    </row>
    <row r="60" spans="1:1" x14ac:dyDescent="0.25">
      <c r="A60">
        <v>9112</v>
      </c>
    </row>
    <row r="61" spans="1:1" x14ac:dyDescent="0.25">
      <c r="A61">
        <v>1.92</v>
      </c>
    </row>
    <row r="62" spans="1:1" x14ac:dyDescent="0.25">
      <c r="A62">
        <v>7412</v>
      </c>
    </row>
    <row r="63" spans="1:1" x14ac:dyDescent="0.25">
      <c r="A63">
        <v>674</v>
      </c>
    </row>
    <row r="64" spans="1:1" x14ac:dyDescent="0.25">
      <c r="A64">
        <v>28565</v>
      </c>
    </row>
    <row r="65" spans="1:1" x14ac:dyDescent="0.25">
      <c r="A65" t="s">
        <v>21</v>
      </c>
    </row>
    <row r="66" spans="1:1" x14ac:dyDescent="0.25">
      <c r="A66" t="s">
        <v>22</v>
      </c>
    </row>
    <row r="67" spans="1:1" x14ac:dyDescent="0.25">
      <c r="A67" s="1">
        <v>0.5423</v>
      </c>
    </row>
    <row r="68" spans="1:1" x14ac:dyDescent="0.25">
      <c r="A68">
        <v>11062</v>
      </c>
    </row>
    <row r="69" spans="1:1" x14ac:dyDescent="0.25">
      <c r="A69">
        <v>1.56</v>
      </c>
    </row>
    <row r="70" spans="1:1" x14ac:dyDescent="0.25">
      <c r="A70">
        <v>19800</v>
      </c>
    </row>
    <row r="71" spans="1:1" x14ac:dyDescent="0.25">
      <c r="A71">
        <v>48</v>
      </c>
    </row>
    <row r="72" spans="1:1" x14ac:dyDescent="0.25">
      <c r="A72">
        <v>8086</v>
      </c>
    </row>
    <row r="73" spans="1:1" x14ac:dyDescent="0.25">
      <c r="A73" t="s">
        <v>23</v>
      </c>
    </row>
    <row r="74" spans="1:1" x14ac:dyDescent="0.25">
      <c r="A74" t="s">
        <v>24</v>
      </c>
    </row>
    <row r="75" spans="1:1" x14ac:dyDescent="0.25">
      <c r="A75" s="1">
        <v>0.54190000000000005</v>
      </c>
    </row>
    <row r="76" spans="1:1" x14ac:dyDescent="0.25">
      <c r="A76">
        <v>17716</v>
      </c>
    </row>
    <row r="77" spans="1:1" x14ac:dyDescent="0.25">
      <c r="A77">
        <v>2.0699999999999998</v>
      </c>
    </row>
    <row r="78" spans="1:1" x14ac:dyDescent="0.25">
      <c r="A78">
        <v>19750</v>
      </c>
    </row>
    <row r="79" spans="1:1" x14ac:dyDescent="0.25">
      <c r="A79">
        <v>23</v>
      </c>
    </row>
    <row r="80" spans="1:1" x14ac:dyDescent="0.25">
      <c r="A80">
        <v>12867</v>
      </c>
    </row>
    <row r="81" spans="1:1" x14ac:dyDescent="0.25">
      <c r="A81" t="s">
        <v>25</v>
      </c>
    </row>
    <row r="82" spans="1:1" x14ac:dyDescent="0.25">
      <c r="A82" t="s">
        <v>26</v>
      </c>
    </row>
    <row r="83" spans="1:1" x14ac:dyDescent="0.25">
      <c r="A83" s="1">
        <v>0.54190000000000005</v>
      </c>
    </row>
    <row r="84" spans="1:1" x14ac:dyDescent="0.25">
      <c r="A84">
        <v>7462</v>
      </c>
    </row>
    <row r="85" spans="1:1" x14ac:dyDescent="0.25">
      <c r="A85">
        <v>1.83</v>
      </c>
    </row>
    <row r="86" spans="1:1" x14ac:dyDescent="0.25">
      <c r="A86">
        <v>18149</v>
      </c>
    </row>
    <row r="87" spans="1:1" x14ac:dyDescent="0.25">
      <c r="A87">
        <v>757</v>
      </c>
    </row>
    <row r="88" spans="1:1" x14ac:dyDescent="0.25">
      <c r="A88">
        <v>17732</v>
      </c>
    </row>
    <row r="89" spans="1:1" x14ac:dyDescent="0.25">
      <c r="A89" t="s">
        <v>27</v>
      </c>
    </row>
    <row r="90" spans="1:1" x14ac:dyDescent="0.25">
      <c r="A90" t="s">
        <v>28</v>
      </c>
    </row>
    <row r="91" spans="1:1" x14ac:dyDescent="0.25">
      <c r="A91" s="1">
        <v>0.54169999999999996</v>
      </c>
    </row>
    <row r="92" spans="1:1" x14ac:dyDescent="0.25">
      <c r="A92">
        <v>5546</v>
      </c>
    </row>
    <row r="93" spans="1:1" x14ac:dyDescent="0.25">
      <c r="A93">
        <v>1.96</v>
      </c>
    </row>
    <row r="94" spans="1:1" x14ac:dyDescent="0.25">
      <c r="A94">
        <v>18301</v>
      </c>
    </row>
    <row r="95" spans="1:1" x14ac:dyDescent="0.25">
      <c r="A95">
        <v>85</v>
      </c>
    </row>
    <row r="96" spans="1:1" x14ac:dyDescent="0.25">
      <c r="A96">
        <v>30570</v>
      </c>
    </row>
    <row r="97" spans="1:1" x14ac:dyDescent="0.25">
      <c r="A97" t="s">
        <v>29</v>
      </c>
    </row>
    <row r="98" spans="1:1" x14ac:dyDescent="0.25">
      <c r="A98" t="s">
        <v>30</v>
      </c>
    </row>
    <row r="99" spans="1:1" x14ac:dyDescent="0.25">
      <c r="A99" s="1">
        <v>0.54159999999999997</v>
      </c>
    </row>
    <row r="100" spans="1:1" x14ac:dyDescent="0.25">
      <c r="A100">
        <v>4130</v>
      </c>
    </row>
    <row r="101" spans="1:1" x14ac:dyDescent="0.25">
      <c r="A101">
        <v>1.54</v>
      </c>
    </row>
    <row r="102" spans="1:1" x14ac:dyDescent="0.25">
      <c r="A102">
        <v>17615</v>
      </c>
    </row>
    <row r="103" spans="1:1" x14ac:dyDescent="0.25">
      <c r="A103">
        <v>101</v>
      </c>
    </row>
    <row r="104" spans="1:1" x14ac:dyDescent="0.25">
      <c r="A104">
        <v>5713</v>
      </c>
    </row>
    <row r="105" spans="1:1" x14ac:dyDescent="0.25">
      <c r="A105" t="s">
        <v>31</v>
      </c>
    </row>
    <row r="106" spans="1:1" x14ac:dyDescent="0.25">
      <c r="A106" t="s">
        <v>32</v>
      </c>
    </row>
    <row r="107" spans="1:1" x14ac:dyDescent="0.25">
      <c r="A107" s="1">
        <v>0.54049999999999998</v>
      </c>
    </row>
    <row r="108" spans="1:1" x14ac:dyDescent="0.25">
      <c r="A108">
        <v>10711</v>
      </c>
    </row>
    <row r="109" spans="1:1" x14ac:dyDescent="0.25">
      <c r="A109">
        <v>1.67</v>
      </c>
    </row>
    <row r="110" spans="1:1" x14ac:dyDescent="0.25">
      <c r="A110">
        <v>15971</v>
      </c>
    </row>
    <row r="111" spans="1:1" x14ac:dyDescent="0.25">
      <c r="A111">
        <v>2072</v>
      </c>
    </row>
    <row r="112" spans="1:1" x14ac:dyDescent="0.25">
      <c r="A112">
        <v>16508</v>
      </c>
    </row>
    <row r="113" spans="1:1" x14ac:dyDescent="0.25">
      <c r="A113" t="s">
        <v>33</v>
      </c>
    </row>
    <row r="114" spans="1:1" x14ac:dyDescent="0.25">
      <c r="A114" t="s">
        <v>34</v>
      </c>
    </row>
    <row r="115" spans="1:1" x14ac:dyDescent="0.25">
      <c r="A115" s="1">
        <v>0.53669999999999995</v>
      </c>
    </row>
    <row r="116" spans="1:1" x14ac:dyDescent="0.25">
      <c r="A116">
        <v>7738</v>
      </c>
    </row>
    <row r="117" spans="1:1" x14ac:dyDescent="0.25">
      <c r="A117">
        <v>2.06</v>
      </c>
    </row>
    <row r="118" spans="1:1" x14ac:dyDescent="0.25">
      <c r="A118">
        <v>17167</v>
      </c>
    </row>
    <row r="119" spans="1:1" x14ac:dyDescent="0.25">
      <c r="A119">
        <v>22</v>
      </c>
    </row>
    <row r="120" spans="1:1" x14ac:dyDescent="0.25">
      <c r="A120">
        <v>13965</v>
      </c>
    </row>
    <row r="121" spans="1:1" x14ac:dyDescent="0.25">
      <c r="A121" t="s">
        <v>35</v>
      </c>
    </row>
    <row r="122" spans="1:1" x14ac:dyDescent="0.25">
      <c r="A122" t="s">
        <v>36</v>
      </c>
    </row>
    <row r="123" spans="1:1" x14ac:dyDescent="0.25">
      <c r="A123" s="1">
        <v>0.53600000000000003</v>
      </c>
    </row>
    <row r="124" spans="1:1" x14ac:dyDescent="0.25">
      <c r="A124">
        <v>17032</v>
      </c>
    </row>
    <row r="125" spans="1:1" x14ac:dyDescent="0.25">
      <c r="A125">
        <v>2.02</v>
      </c>
    </row>
    <row r="126" spans="1:1" x14ac:dyDescent="0.25">
      <c r="A126">
        <v>17322</v>
      </c>
    </row>
    <row r="127" spans="1:1" x14ac:dyDescent="0.25">
      <c r="A127">
        <v>819</v>
      </c>
    </row>
    <row r="128" spans="1:1" x14ac:dyDescent="0.25">
      <c r="A128">
        <v>29074</v>
      </c>
    </row>
    <row r="129" spans="1:1" x14ac:dyDescent="0.25">
      <c r="A129" t="s">
        <v>37</v>
      </c>
    </row>
    <row r="130" spans="1:1" x14ac:dyDescent="0.25">
      <c r="A130" t="s">
        <v>38</v>
      </c>
    </row>
    <row r="131" spans="1:1" x14ac:dyDescent="0.25">
      <c r="A131" s="1">
        <v>0.53510000000000002</v>
      </c>
    </row>
    <row r="132" spans="1:1" x14ac:dyDescent="0.25">
      <c r="A132">
        <v>11673</v>
      </c>
    </row>
    <row r="133" spans="1:1" x14ac:dyDescent="0.25">
      <c r="A133">
        <v>1.6</v>
      </c>
    </row>
    <row r="134" spans="1:1" x14ac:dyDescent="0.25">
      <c r="A134">
        <v>18721</v>
      </c>
    </row>
    <row r="135" spans="1:1" x14ac:dyDescent="0.25">
      <c r="A135">
        <v>66</v>
      </c>
    </row>
    <row r="136" spans="1:1" x14ac:dyDescent="0.25">
      <c r="A136">
        <v>6573</v>
      </c>
    </row>
    <row r="137" spans="1:1" x14ac:dyDescent="0.25">
      <c r="A137" t="s">
        <v>39</v>
      </c>
    </row>
    <row r="138" spans="1:1" x14ac:dyDescent="0.25">
      <c r="A138" t="s">
        <v>40</v>
      </c>
    </row>
    <row r="139" spans="1:1" x14ac:dyDescent="0.25">
      <c r="A139" s="1">
        <v>0.53449999999999998</v>
      </c>
    </row>
    <row r="140" spans="1:1" x14ac:dyDescent="0.25">
      <c r="A140">
        <v>7309</v>
      </c>
    </row>
    <row r="141" spans="1:1" x14ac:dyDescent="0.25">
      <c r="A141">
        <v>1.93</v>
      </c>
    </row>
    <row r="142" spans="1:1" x14ac:dyDescent="0.25">
      <c r="A142">
        <v>14947</v>
      </c>
    </row>
    <row r="143" spans="1:1" x14ac:dyDescent="0.25">
      <c r="A143">
        <v>149</v>
      </c>
    </row>
    <row r="144" spans="1:1" x14ac:dyDescent="0.25">
      <c r="A144">
        <v>30748</v>
      </c>
    </row>
    <row r="145" spans="1:1" x14ac:dyDescent="0.25">
      <c r="A145" t="s">
        <v>41</v>
      </c>
    </row>
    <row r="146" spans="1:1" x14ac:dyDescent="0.25">
      <c r="A146" t="s">
        <v>42</v>
      </c>
    </row>
    <row r="147" spans="1:1" x14ac:dyDescent="0.25">
      <c r="A147" s="1">
        <v>0.53449999999999998</v>
      </c>
    </row>
    <row r="148" spans="1:1" x14ac:dyDescent="0.25">
      <c r="A148">
        <v>10952</v>
      </c>
    </row>
    <row r="149" spans="1:1" x14ac:dyDescent="0.25">
      <c r="A149">
        <v>1.89</v>
      </c>
    </row>
    <row r="150" spans="1:1" x14ac:dyDescent="0.25">
      <c r="A150">
        <v>15829</v>
      </c>
    </row>
    <row r="151" spans="1:1" x14ac:dyDescent="0.25">
      <c r="A151">
        <v>21</v>
      </c>
    </row>
    <row r="152" spans="1:1" x14ac:dyDescent="0.25">
      <c r="A152">
        <v>9766</v>
      </c>
    </row>
    <row r="153" spans="1:1" x14ac:dyDescent="0.25">
      <c r="A153" t="s">
        <v>43</v>
      </c>
    </row>
    <row r="154" spans="1:1" x14ac:dyDescent="0.25">
      <c r="A154" t="s">
        <v>44</v>
      </c>
    </row>
    <row r="155" spans="1:1" x14ac:dyDescent="0.25">
      <c r="A155" s="1">
        <v>0.53310000000000002</v>
      </c>
    </row>
    <row r="156" spans="1:1" x14ac:dyDescent="0.25">
      <c r="A156">
        <v>9614</v>
      </c>
    </row>
    <row r="157" spans="1:1" x14ac:dyDescent="0.25">
      <c r="A157">
        <v>1.54</v>
      </c>
    </row>
    <row r="158" spans="1:1" x14ac:dyDescent="0.25">
      <c r="A158">
        <v>21388</v>
      </c>
    </row>
    <row r="159" spans="1:1" x14ac:dyDescent="0.25">
      <c r="A159">
        <v>75</v>
      </c>
    </row>
    <row r="160" spans="1:1" x14ac:dyDescent="0.25">
      <c r="A160">
        <v>6763</v>
      </c>
    </row>
    <row r="161" spans="1:1" x14ac:dyDescent="0.25">
      <c r="A161" t="s">
        <v>45</v>
      </c>
    </row>
    <row r="162" spans="1:1" x14ac:dyDescent="0.25">
      <c r="A162" t="s">
        <v>46</v>
      </c>
    </row>
    <row r="163" spans="1:1" x14ac:dyDescent="0.25">
      <c r="A163" s="1">
        <v>0.53249999999999997</v>
      </c>
    </row>
    <row r="164" spans="1:1" x14ac:dyDescent="0.25">
      <c r="A164">
        <v>5608</v>
      </c>
    </row>
    <row r="165" spans="1:1" x14ac:dyDescent="0.25">
      <c r="A165">
        <v>1.82</v>
      </c>
    </row>
    <row r="166" spans="1:1" x14ac:dyDescent="0.25">
      <c r="A166">
        <v>18072</v>
      </c>
    </row>
    <row r="167" spans="1:1" x14ac:dyDescent="0.25">
      <c r="A167">
        <v>32</v>
      </c>
    </row>
    <row r="168" spans="1:1" x14ac:dyDescent="0.25">
      <c r="A168">
        <v>8895</v>
      </c>
    </row>
    <row r="169" spans="1:1" x14ac:dyDescent="0.25">
      <c r="A169" t="s">
        <v>47</v>
      </c>
    </row>
    <row r="170" spans="1:1" x14ac:dyDescent="0.25">
      <c r="A170" t="s">
        <v>48</v>
      </c>
    </row>
    <row r="171" spans="1:1" x14ac:dyDescent="0.25">
      <c r="A171" s="1">
        <v>0.53159999999999996</v>
      </c>
    </row>
    <row r="172" spans="1:1" x14ac:dyDescent="0.25">
      <c r="A172">
        <v>9710</v>
      </c>
    </row>
    <row r="173" spans="1:1" x14ac:dyDescent="0.25">
      <c r="A173">
        <v>1.99</v>
      </c>
    </row>
    <row r="174" spans="1:1" x14ac:dyDescent="0.25">
      <c r="A174">
        <v>18549</v>
      </c>
    </row>
    <row r="175" spans="1:1" x14ac:dyDescent="0.25">
      <c r="A175">
        <v>1132</v>
      </c>
    </row>
    <row r="176" spans="1:1" x14ac:dyDescent="0.25">
      <c r="A176">
        <v>7904</v>
      </c>
    </row>
    <row r="177" spans="1:1" x14ac:dyDescent="0.25">
      <c r="A177" t="s">
        <v>49</v>
      </c>
    </row>
    <row r="178" spans="1:1" x14ac:dyDescent="0.25">
      <c r="A178" t="s">
        <v>50</v>
      </c>
    </row>
    <row r="179" spans="1:1" x14ac:dyDescent="0.25">
      <c r="A179" s="1">
        <v>0.53039999999999998</v>
      </c>
    </row>
    <row r="180" spans="1:1" x14ac:dyDescent="0.25">
      <c r="A180">
        <v>5850</v>
      </c>
    </row>
    <row r="181" spans="1:1" x14ac:dyDescent="0.25">
      <c r="A181">
        <v>1.64</v>
      </c>
    </row>
    <row r="182" spans="1:1" x14ac:dyDescent="0.25">
      <c r="A182">
        <v>19601</v>
      </c>
    </row>
    <row r="183" spans="1:1" x14ac:dyDescent="0.25">
      <c r="A183">
        <v>153</v>
      </c>
    </row>
    <row r="184" spans="1:1" x14ac:dyDescent="0.25">
      <c r="A184">
        <v>6508</v>
      </c>
    </row>
    <row r="185" spans="1:1" x14ac:dyDescent="0.25">
      <c r="A185" t="s">
        <v>51</v>
      </c>
    </row>
    <row r="186" spans="1:1" x14ac:dyDescent="0.25">
      <c r="A186" t="s">
        <v>52</v>
      </c>
    </row>
    <row r="187" spans="1:1" x14ac:dyDescent="0.25">
      <c r="A187" s="1">
        <v>0.52969999999999995</v>
      </c>
    </row>
    <row r="188" spans="1:1" x14ac:dyDescent="0.25">
      <c r="A188">
        <v>12174</v>
      </c>
    </row>
    <row r="189" spans="1:1" x14ac:dyDescent="0.25">
      <c r="A189">
        <v>1.69</v>
      </c>
    </row>
    <row r="190" spans="1:1" x14ac:dyDescent="0.25">
      <c r="A190">
        <v>18776</v>
      </c>
    </row>
    <row r="191" spans="1:1" x14ac:dyDescent="0.25">
      <c r="A191">
        <v>35</v>
      </c>
    </row>
    <row r="192" spans="1:1" x14ac:dyDescent="0.25">
      <c r="A192">
        <v>8726</v>
      </c>
    </row>
    <row r="193" spans="1:1" x14ac:dyDescent="0.25">
      <c r="A193" t="s">
        <v>53</v>
      </c>
    </row>
    <row r="194" spans="1:1" x14ac:dyDescent="0.25">
      <c r="A194" t="s">
        <v>54</v>
      </c>
    </row>
    <row r="195" spans="1:1" x14ac:dyDescent="0.25">
      <c r="A195" s="1">
        <v>0.52890000000000004</v>
      </c>
    </row>
    <row r="196" spans="1:1" x14ac:dyDescent="0.25">
      <c r="A196">
        <v>5061</v>
      </c>
    </row>
    <row r="197" spans="1:1" x14ac:dyDescent="0.25">
      <c r="A197">
        <v>1.59</v>
      </c>
    </row>
    <row r="198" spans="1:1" x14ac:dyDescent="0.25">
      <c r="A198">
        <v>19368</v>
      </c>
    </row>
    <row r="199" spans="1:1" x14ac:dyDescent="0.25">
      <c r="A199">
        <v>138</v>
      </c>
    </row>
    <row r="200" spans="1:1" x14ac:dyDescent="0.25">
      <c r="A200">
        <v>6386</v>
      </c>
    </row>
    <row r="201" spans="1:1" x14ac:dyDescent="0.25">
      <c r="A201" t="s">
        <v>55</v>
      </c>
    </row>
    <row r="202" spans="1:1" x14ac:dyDescent="0.25">
      <c r="A202" t="s">
        <v>56</v>
      </c>
    </row>
    <row r="203" spans="1:1" x14ac:dyDescent="0.25">
      <c r="A203" s="1">
        <v>0.52859999999999996</v>
      </c>
    </row>
    <row r="204" spans="1:1" x14ac:dyDescent="0.25">
      <c r="A204">
        <v>6035</v>
      </c>
    </row>
    <row r="205" spans="1:1" x14ac:dyDescent="0.25">
      <c r="A205">
        <v>2.23</v>
      </c>
    </row>
    <row r="206" spans="1:1" x14ac:dyDescent="0.25">
      <c r="A206">
        <v>12135</v>
      </c>
    </row>
    <row r="207" spans="1:1" x14ac:dyDescent="0.25">
      <c r="A207">
        <v>489</v>
      </c>
    </row>
    <row r="208" spans="1:1" x14ac:dyDescent="0.25">
      <c r="A208">
        <v>33695</v>
      </c>
    </row>
    <row r="209" spans="1:1" x14ac:dyDescent="0.25">
      <c r="A209" t="s">
        <v>57</v>
      </c>
    </row>
    <row r="210" spans="1:1" x14ac:dyDescent="0.25">
      <c r="A210" t="s">
        <v>58</v>
      </c>
    </row>
    <row r="211" spans="1:1" x14ac:dyDescent="0.25">
      <c r="A211" s="1">
        <v>0.52829999999999999</v>
      </c>
    </row>
    <row r="212" spans="1:1" x14ac:dyDescent="0.25">
      <c r="A212">
        <v>12912</v>
      </c>
    </row>
    <row r="213" spans="1:1" x14ac:dyDescent="0.25">
      <c r="A213">
        <v>1.6</v>
      </c>
    </row>
    <row r="214" spans="1:1" x14ac:dyDescent="0.25">
      <c r="A214">
        <v>18504</v>
      </c>
    </row>
    <row r="215" spans="1:1" x14ac:dyDescent="0.25">
      <c r="A215">
        <v>53</v>
      </c>
    </row>
    <row r="216" spans="1:1" x14ac:dyDescent="0.25">
      <c r="A216">
        <v>7198</v>
      </c>
    </row>
    <row r="217" spans="1:1" x14ac:dyDescent="0.25">
      <c r="A217" t="s">
        <v>59</v>
      </c>
    </row>
    <row r="218" spans="1:1" x14ac:dyDescent="0.25">
      <c r="A218" t="s">
        <v>60</v>
      </c>
    </row>
    <row r="219" spans="1:1" x14ac:dyDescent="0.25">
      <c r="A219" s="1">
        <v>0.52690000000000003</v>
      </c>
    </row>
    <row r="220" spans="1:1" x14ac:dyDescent="0.25">
      <c r="A220">
        <v>10571</v>
      </c>
    </row>
    <row r="221" spans="1:1" x14ac:dyDescent="0.25">
      <c r="A221">
        <v>1.56</v>
      </c>
    </row>
    <row r="222" spans="1:1" x14ac:dyDescent="0.25">
      <c r="A222">
        <v>18020</v>
      </c>
    </row>
    <row r="223" spans="1:1" x14ac:dyDescent="0.25">
      <c r="A223">
        <v>84</v>
      </c>
    </row>
    <row r="224" spans="1:1" x14ac:dyDescent="0.25">
      <c r="A224">
        <v>10563</v>
      </c>
    </row>
    <row r="225" spans="1:1" x14ac:dyDescent="0.25">
      <c r="A225" t="s">
        <v>61</v>
      </c>
    </row>
    <row r="226" spans="1:1" x14ac:dyDescent="0.25">
      <c r="A226" t="s">
        <v>62</v>
      </c>
    </row>
    <row r="227" spans="1:1" x14ac:dyDescent="0.25">
      <c r="A227" s="1">
        <v>0.52629999999999999</v>
      </c>
    </row>
    <row r="228" spans="1:1" x14ac:dyDescent="0.25">
      <c r="A228">
        <v>4138</v>
      </c>
    </row>
    <row r="229" spans="1:1" x14ac:dyDescent="0.25">
      <c r="A229">
        <v>1.65</v>
      </c>
    </row>
    <row r="230" spans="1:1" x14ac:dyDescent="0.25">
      <c r="A230">
        <v>20598</v>
      </c>
    </row>
    <row r="231" spans="1:1" x14ac:dyDescent="0.25">
      <c r="A231">
        <v>139</v>
      </c>
    </row>
    <row r="232" spans="1:1" x14ac:dyDescent="0.25">
      <c r="A232">
        <v>9937</v>
      </c>
    </row>
    <row r="233" spans="1:1" x14ac:dyDescent="0.25">
      <c r="A233" t="s">
        <v>63</v>
      </c>
    </row>
    <row r="234" spans="1:1" x14ac:dyDescent="0.25">
      <c r="A234" t="s">
        <v>64</v>
      </c>
    </row>
    <row r="235" spans="1:1" x14ac:dyDescent="0.25">
      <c r="A235" s="1">
        <v>0.52629999999999999</v>
      </c>
    </row>
    <row r="236" spans="1:1" x14ac:dyDescent="0.25">
      <c r="A236">
        <v>9520</v>
      </c>
    </row>
    <row r="237" spans="1:1" x14ac:dyDescent="0.25">
      <c r="A237">
        <v>2.1</v>
      </c>
    </row>
    <row r="238" spans="1:1" x14ac:dyDescent="0.25">
      <c r="A238">
        <v>17213</v>
      </c>
    </row>
    <row r="239" spans="1:1" x14ac:dyDescent="0.25">
      <c r="A239">
        <v>31</v>
      </c>
    </row>
    <row r="240" spans="1:1" x14ac:dyDescent="0.25">
      <c r="A240">
        <v>10998</v>
      </c>
    </row>
    <row r="241" spans="1:1" x14ac:dyDescent="0.25">
      <c r="A241" t="s">
        <v>65</v>
      </c>
    </row>
    <row r="242" spans="1:1" x14ac:dyDescent="0.25">
      <c r="A242" t="s">
        <v>66</v>
      </c>
    </row>
    <row r="243" spans="1:1" x14ac:dyDescent="0.25">
      <c r="A243" s="1">
        <v>0.52610000000000001</v>
      </c>
    </row>
    <row r="244" spans="1:1" x14ac:dyDescent="0.25">
      <c r="A244">
        <v>6554</v>
      </c>
    </row>
    <row r="245" spans="1:1" x14ac:dyDescent="0.25">
      <c r="A245">
        <v>1.61</v>
      </c>
    </row>
    <row r="246" spans="1:1" x14ac:dyDescent="0.25">
      <c r="A246">
        <v>15998</v>
      </c>
    </row>
    <row r="247" spans="1:1" x14ac:dyDescent="0.25">
      <c r="A247">
        <v>3593</v>
      </c>
    </row>
    <row r="248" spans="1:1" x14ac:dyDescent="0.25">
      <c r="A248">
        <v>11197</v>
      </c>
    </row>
    <row r="249" spans="1:1" x14ac:dyDescent="0.25">
      <c r="A249" t="s">
        <v>67</v>
      </c>
    </row>
    <row r="250" spans="1:1" x14ac:dyDescent="0.25">
      <c r="A250" t="s">
        <v>68</v>
      </c>
    </row>
    <row r="251" spans="1:1" x14ac:dyDescent="0.25">
      <c r="A251" s="1">
        <v>0.52569999999999995</v>
      </c>
    </row>
    <row r="252" spans="1:1" x14ac:dyDescent="0.25">
      <c r="A252">
        <v>7974</v>
      </c>
    </row>
    <row r="253" spans="1:1" x14ac:dyDescent="0.25">
      <c r="A253">
        <v>1.56</v>
      </c>
    </row>
    <row r="254" spans="1:1" x14ac:dyDescent="0.25">
      <c r="A254">
        <v>19629</v>
      </c>
    </row>
    <row r="255" spans="1:1" x14ac:dyDescent="0.25">
      <c r="A255">
        <v>64</v>
      </c>
    </row>
    <row r="256" spans="1:1" x14ac:dyDescent="0.25">
      <c r="A256">
        <v>6932</v>
      </c>
    </row>
    <row r="257" spans="1:1" x14ac:dyDescent="0.25">
      <c r="A257" t="s">
        <v>69</v>
      </c>
    </row>
    <row r="258" spans="1:1" x14ac:dyDescent="0.25">
      <c r="A258" t="s">
        <v>70</v>
      </c>
    </row>
    <row r="259" spans="1:1" x14ac:dyDescent="0.25">
      <c r="A259" s="1">
        <v>0.52339999999999998</v>
      </c>
    </row>
    <row r="260" spans="1:1" x14ac:dyDescent="0.25">
      <c r="A260">
        <v>2946</v>
      </c>
    </row>
    <row r="261" spans="1:1" x14ac:dyDescent="0.25">
      <c r="A261">
        <v>1.96</v>
      </c>
    </row>
    <row r="262" spans="1:1" x14ac:dyDescent="0.25">
      <c r="A262">
        <v>19575</v>
      </c>
    </row>
    <row r="263" spans="1:1" x14ac:dyDescent="0.25">
      <c r="A263">
        <v>81</v>
      </c>
    </row>
    <row r="264" spans="1:1" x14ac:dyDescent="0.25">
      <c r="A264">
        <v>8751</v>
      </c>
    </row>
    <row r="265" spans="1:1" x14ac:dyDescent="0.25">
      <c r="A265" t="s">
        <v>71</v>
      </c>
    </row>
    <row r="266" spans="1:1" x14ac:dyDescent="0.25">
      <c r="A266" t="s">
        <v>72</v>
      </c>
    </row>
    <row r="267" spans="1:1" x14ac:dyDescent="0.25">
      <c r="A267" s="1">
        <v>0.52339999999999998</v>
      </c>
    </row>
    <row r="268" spans="1:1" x14ac:dyDescent="0.25">
      <c r="A268">
        <v>9503</v>
      </c>
    </row>
    <row r="269" spans="1:1" x14ac:dyDescent="0.25">
      <c r="A269">
        <v>1.86</v>
      </c>
    </row>
    <row r="270" spans="1:1" x14ac:dyDescent="0.25">
      <c r="A270">
        <v>11329</v>
      </c>
    </row>
    <row r="271" spans="1:1" x14ac:dyDescent="0.25">
      <c r="A271">
        <v>519</v>
      </c>
    </row>
    <row r="272" spans="1:1" x14ac:dyDescent="0.25">
      <c r="A272">
        <v>30054</v>
      </c>
    </row>
    <row r="273" spans="1:1" x14ac:dyDescent="0.25">
      <c r="A273" t="s">
        <v>73</v>
      </c>
    </row>
    <row r="274" spans="1:1" x14ac:dyDescent="0.25">
      <c r="A274" t="s">
        <v>74</v>
      </c>
    </row>
    <row r="275" spans="1:1" x14ac:dyDescent="0.25">
      <c r="A275" s="1">
        <v>0.52339999999999998</v>
      </c>
    </row>
    <row r="276" spans="1:1" x14ac:dyDescent="0.25">
      <c r="A276">
        <v>6683</v>
      </c>
    </row>
    <row r="277" spans="1:1" x14ac:dyDescent="0.25">
      <c r="A277">
        <v>1.68</v>
      </c>
    </row>
    <row r="278" spans="1:1" x14ac:dyDescent="0.25">
      <c r="A278">
        <v>18129</v>
      </c>
    </row>
    <row r="279" spans="1:1" x14ac:dyDescent="0.25">
      <c r="A279">
        <v>24</v>
      </c>
    </row>
    <row r="280" spans="1:1" x14ac:dyDescent="0.25">
      <c r="A280">
        <v>8318</v>
      </c>
    </row>
    <row r="281" spans="1:1" x14ac:dyDescent="0.25">
      <c r="A281" t="s">
        <v>75</v>
      </c>
    </row>
    <row r="282" spans="1:1" x14ac:dyDescent="0.25">
      <c r="A282" t="s">
        <v>76</v>
      </c>
    </row>
    <row r="283" spans="1:1" x14ac:dyDescent="0.25">
      <c r="A283" s="1">
        <v>0.51939999999999997</v>
      </c>
    </row>
    <row r="284" spans="1:1" x14ac:dyDescent="0.25">
      <c r="A284">
        <v>4505</v>
      </c>
    </row>
    <row r="285" spans="1:1" x14ac:dyDescent="0.25">
      <c r="A285">
        <v>1.64</v>
      </c>
    </row>
    <row r="286" spans="1:1" x14ac:dyDescent="0.25">
      <c r="A286">
        <v>17270</v>
      </c>
    </row>
    <row r="287" spans="1:1" x14ac:dyDescent="0.25">
      <c r="A287">
        <v>47</v>
      </c>
    </row>
    <row r="288" spans="1:1" x14ac:dyDescent="0.25">
      <c r="A288">
        <v>9701</v>
      </c>
    </row>
    <row r="289" spans="1:1" x14ac:dyDescent="0.25">
      <c r="A289" t="s">
        <v>77</v>
      </c>
    </row>
    <row r="290" spans="1:1" x14ac:dyDescent="0.25">
      <c r="A290" t="s">
        <v>78</v>
      </c>
    </row>
    <row r="291" spans="1:1" x14ac:dyDescent="0.25">
      <c r="A291" s="1">
        <v>0.51700000000000002</v>
      </c>
    </row>
    <row r="292" spans="1:1" x14ac:dyDescent="0.25">
      <c r="A292">
        <v>7528</v>
      </c>
    </row>
    <row r="293" spans="1:1" x14ac:dyDescent="0.25">
      <c r="A293">
        <v>1.64</v>
      </c>
    </row>
    <row r="294" spans="1:1" x14ac:dyDescent="0.25">
      <c r="A294">
        <v>16982</v>
      </c>
    </row>
    <row r="295" spans="1:1" x14ac:dyDescent="0.25">
      <c r="A295">
        <v>667</v>
      </c>
    </row>
    <row r="296" spans="1:1" x14ac:dyDescent="0.25">
      <c r="A296">
        <v>8268</v>
      </c>
    </row>
    <row r="297" spans="1:1" x14ac:dyDescent="0.25">
      <c r="A297" t="s">
        <v>79</v>
      </c>
    </row>
    <row r="298" spans="1:1" x14ac:dyDescent="0.25">
      <c r="A298" t="s">
        <v>80</v>
      </c>
    </row>
    <row r="299" spans="1:1" x14ac:dyDescent="0.25">
      <c r="A299" s="1">
        <v>0.51570000000000005</v>
      </c>
    </row>
    <row r="300" spans="1:1" x14ac:dyDescent="0.25">
      <c r="A300">
        <v>12009</v>
      </c>
    </row>
    <row r="301" spans="1:1" x14ac:dyDescent="0.25">
      <c r="A301">
        <v>1.71</v>
      </c>
    </row>
    <row r="302" spans="1:1" x14ac:dyDescent="0.25">
      <c r="A302">
        <v>12066</v>
      </c>
    </row>
    <row r="303" spans="1:1" x14ac:dyDescent="0.25">
      <c r="A303">
        <v>356</v>
      </c>
    </row>
    <row r="304" spans="1:1" x14ac:dyDescent="0.25">
      <c r="A304">
        <v>33552</v>
      </c>
    </row>
    <row r="305" spans="1:1" x14ac:dyDescent="0.25">
      <c r="A305" t="s">
        <v>81</v>
      </c>
    </row>
    <row r="306" spans="1:1" x14ac:dyDescent="0.25">
      <c r="A306" t="s">
        <v>82</v>
      </c>
    </row>
    <row r="307" spans="1:1" x14ac:dyDescent="0.25">
      <c r="A307" s="1">
        <v>0.5151</v>
      </c>
    </row>
    <row r="308" spans="1:1" x14ac:dyDescent="0.25">
      <c r="A308">
        <v>12381</v>
      </c>
    </row>
    <row r="309" spans="1:1" x14ac:dyDescent="0.25">
      <c r="A309">
        <v>1.98</v>
      </c>
    </row>
    <row r="310" spans="1:1" x14ac:dyDescent="0.25">
      <c r="A310">
        <v>11321</v>
      </c>
    </row>
    <row r="311" spans="1:1" x14ac:dyDescent="0.25">
      <c r="A311">
        <v>2968</v>
      </c>
    </row>
    <row r="312" spans="1:1" x14ac:dyDescent="0.25">
      <c r="A312">
        <v>28676</v>
      </c>
    </row>
    <row r="313" spans="1:1" x14ac:dyDescent="0.25">
      <c r="A313" t="s">
        <v>83</v>
      </c>
    </row>
    <row r="314" spans="1:1" x14ac:dyDescent="0.25">
      <c r="A314" t="s">
        <v>84</v>
      </c>
    </row>
    <row r="315" spans="1:1" x14ac:dyDescent="0.25">
      <c r="A315" s="1">
        <v>0.51470000000000005</v>
      </c>
    </row>
    <row r="316" spans="1:1" x14ac:dyDescent="0.25">
      <c r="A316">
        <v>5603</v>
      </c>
    </row>
    <row r="317" spans="1:1" x14ac:dyDescent="0.25">
      <c r="A317">
        <v>1.5</v>
      </c>
    </row>
    <row r="318" spans="1:1" x14ac:dyDescent="0.25">
      <c r="A318">
        <v>20739</v>
      </c>
    </row>
    <row r="319" spans="1:1" x14ac:dyDescent="0.25">
      <c r="A319">
        <v>74</v>
      </c>
    </row>
    <row r="320" spans="1:1" x14ac:dyDescent="0.25">
      <c r="A320">
        <v>6583</v>
      </c>
    </row>
    <row r="321" spans="1:1" x14ac:dyDescent="0.25">
      <c r="A321" t="s">
        <v>85</v>
      </c>
    </row>
    <row r="322" spans="1:1" x14ac:dyDescent="0.25">
      <c r="A322" t="s">
        <v>86</v>
      </c>
    </row>
    <row r="323" spans="1:1" x14ac:dyDescent="0.25">
      <c r="A323" s="1">
        <v>0.51429999999999998</v>
      </c>
    </row>
    <row r="324" spans="1:1" x14ac:dyDescent="0.25">
      <c r="A324">
        <v>24173</v>
      </c>
    </row>
    <row r="325" spans="1:1" x14ac:dyDescent="0.25">
      <c r="A325">
        <v>1.67</v>
      </c>
    </row>
    <row r="326" spans="1:1" x14ac:dyDescent="0.25">
      <c r="A326">
        <v>16447</v>
      </c>
    </row>
    <row r="327" spans="1:1" x14ac:dyDescent="0.25">
      <c r="A327">
        <v>103</v>
      </c>
    </row>
    <row r="328" spans="1:1" x14ac:dyDescent="0.25">
      <c r="A328">
        <v>29722</v>
      </c>
    </row>
    <row r="329" spans="1:1" x14ac:dyDescent="0.25">
      <c r="A329" t="s">
        <v>87</v>
      </c>
    </row>
    <row r="330" spans="1:1" x14ac:dyDescent="0.25">
      <c r="A330" t="s">
        <v>88</v>
      </c>
    </row>
    <row r="331" spans="1:1" x14ac:dyDescent="0.25">
      <c r="A331" s="1">
        <v>0.51359999999999995</v>
      </c>
    </row>
    <row r="332" spans="1:1" x14ac:dyDescent="0.25">
      <c r="A332">
        <v>17735</v>
      </c>
    </row>
    <row r="333" spans="1:1" x14ac:dyDescent="0.25">
      <c r="A333">
        <v>1.45</v>
      </c>
    </row>
    <row r="334" spans="1:1" x14ac:dyDescent="0.25">
      <c r="A334">
        <v>17249</v>
      </c>
    </row>
    <row r="335" spans="1:1" x14ac:dyDescent="0.25">
      <c r="A335">
        <v>38</v>
      </c>
    </row>
    <row r="336" spans="1:1" x14ac:dyDescent="0.25">
      <c r="A336">
        <v>7664</v>
      </c>
    </row>
    <row r="337" spans="1:1" x14ac:dyDescent="0.25">
      <c r="A337" t="s">
        <v>89</v>
      </c>
    </row>
    <row r="338" spans="1:1" x14ac:dyDescent="0.25">
      <c r="A338" t="s">
        <v>90</v>
      </c>
    </row>
    <row r="339" spans="1:1" x14ac:dyDescent="0.25">
      <c r="A339" s="1">
        <v>0.5131</v>
      </c>
    </row>
    <row r="340" spans="1:1" x14ac:dyDescent="0.25">
      <c r="A340">
        <v>10592</v>
      </c>
    </row>
    <row r="341" spans="1:1" x14ac:dyDescent="0.25">
      <c r="A341">
        <v>1.63</v>
      </c>
    </row>
    <row r="342" spans="1:1" x14ac:dyDescent="0.25">
      <c r="A342">
        <v>17497</v>
      </c>
    </row>
    <row r="343" spans="1:1" x14ac:dyDescent="0.25">
      <c r="A343">
        <v>104</v>
      </c>
    </row>
    <row r="344" spans="1:1" x14ac:dyDescent="0.25">
      <c r="A344">
        <v>29509</v>
      </c>
    </row>
    <row r="345" spans="1:1" x14ac:dyDescent="0.25">
      <c r="A345" t="s">
        <v>91</v>
      </c>
    </row>
    <row r="346" spans="1:1" x14ac:dyDescent="0.25">
      <c r="A346" t="s">
        <v>92</v>
      </c>
    </row>
    <row r="347" spans="1:1" x14ac:dyDescent="0.25">
      <c r="A347" s="1">
        <v>0.51280000000000003</v>
      </c>
    </row>
    <row r="348" spans="1:1" x14ac:dyDescent="0.25">
      <c r="A348">
        <v>5864</v>
      </c>
    </row>
    <row r="349" spans="1:1" x14ac:dyDescent="0.25">
      <c r="A349">
        <v>1.83</v>
      </c>
    </row>
    <row r="350" spans="1:1" x14ac:dyDescent="0.25">
      <c r="A350">
        <v>13606</v>
      </c>
    </row>
    <row r="351" spans="1:1" x14ac:dyDescent="0.25">
      <c r="A351">
        <v>2399</v>
      </c>
    </row>
    <row r="352" spans="1:1" x14ac:dyDescent="0.25">
      <c r="A352">
        <v>31218</v>
      </c>
    </row>
    <row r="353" spans="1:1" x14ac:dyDescent="0.25">
      <c r="A353" t="s">
        <v>93</v>
      </c>
    </row>
    <row r="354" spans="1:1" x14ac:dyDescent="0.25">
      <c r="A354" t="s">
        <v>94</v>
      </c>
    </row>
    <row r="355" spans="1:1" x14ac:dyDescent="0.25">
      <c r="A355" s="1">
        <v>0.51270000000000004</v>
      </c>
    </row>
    <row r="356" spans="1:1" x14ac:dyDescent="0.25">
      <c r="A356">
        <v>7829</v>
      </c>
    </row>
    <row r="357" spans="1:1" x14ac:dyDescent="0.25">
      <c r="A357">
        <v>1.77</v>
      </c>
    </row>
    <row r="358" spans="1:1" x14ac:dyDescent="0.25">
      <c r="A358">
        <v>17295</v>
      </c>
    </row>
    <row r="359" spans="1:1" x14ac:dyDescent="0.25">
      <c r="A359">
        <v>59</v>
      </c>
    </row>
    <row r="360" spans="1:1" x14ac:dyDescent="0.25">
      <c r="A360">
        <v>5712</v>
      </c>
    </row>
    <row r="361" spans="1:1" x14ac:dyDescent="0.25">
      <c r="A361" t="s">
        <v>95</v>
      </c>
    </row>
    <row r="362" spans="1:1" x14ac:dyDescent="0.25">
      <c r="A362" t="s">
        <v>96</v>
      </c>
    </row>
    <row r="363" spans="1:1" x14ac:dyDescent="0.25">
      <c r="A363" s="1">
        <v>0.51219999999999999</v>
      </c>
    </row>
    <row r="364" spans="1:1" x14ac:dyDescent="0.25">
      <c r="A364">
        <v>15104</v>
      </c>
    </row>
    <row r="365" spans="1:1" x14ac:dyDescent="0.25">
      <c r="A365">
        <v>2.02</v>
      </c>
    </row>
    <row r="366" spans="1:1" x14ac:dyDescent="0.25">
      <c r="A366">
        <v>12741</v>
      </c>
    </row>
    <row r="367" spans="1:1" x14ac:dyDescent="0.25">
      <c r="A367">
        <v>604</v>
      </c>
    </row>
    <row r="368" spans="1:1" x14ac:dyDescent="0.25">
      <c r="A368">
        <v>32236</v>
      </c>
    </row>
    <row r="369" spans="1:1" x14ac:dyDescent="0.25">
      <c r="A369" t="s">
        <v>97</v>
      </c>
    </row>
    <row r="370" spans="1:1" x14ac:dyDescent="0.25">
      <c r="A370" t="s">
        <v>98</v>
      </c>
    </row>
    <row r="371" spans="1:1" x14ac:dyDescent="0.25">
      <c r="A371" s="1">
        <v>0.51070000000000004</v>
      </c>
    </row>
    <row r="372" spans="1:1" x14ac:dyDescent="0.25">
      <c r="A372">
        <v>11213</v>
      </c>
    </row>
    <row r="373" spans="1:1" x14ac:dyDescent="0.25">
      <c r="A373">
        <v>2.0699999999999998</v>
      </c>
    </row>
    <row r="374" spans="1:1" x14ac:dyDescent="0.25">
      <c r="A374">
        <v>16710</v>
      </c>
    </row>
    <row r="375" spans="1:1" x14ac:dyDescent="0.25">
      <c r="A375">
        <v>311</v>
      </c>
    </row>
    <row r="376" spans="1:1" x14ac:dyDescent="0.25">
      <c r="A376">
        <v>30334</v>
      </c>
    </row>
    <row r="377" spans="1:1" x14ac:dyDescent="0.25">
      <c r="A377" t="s">
        <v>99</v>
      </c>
    </row>
    <row r="378" spans="1:1" x14ac:dyDescent="0.25">
      <c r="A378" t="s">
        <v>100</v>
      </c>
    </row>
    <row r="379" spans="1:1" x14ac:dyDescent="0.25">
      <c r="A379" s="1">
        <v>0.51049999999999995</v>
      </c>
    </row>
    <row r="380" spans="1:1" x14ac:dyDescent="0.25">
      <c r="A380">
        <v>8560</v>
      </c>
    </row>
    <row r="381" spans="1:1" x14ac:dyDescent="0.25">
      <c r="A381">
        <v>1.55</v>
      </c>
    </row>
    <row r="382" spans="1:1" x14ac:dyDescent="0.25">
      <c r="A382">
        <v>18703</v>
      </c>
    </row>
    <row r="383" spans="1:1" x14ac:dyDescent="0.25">
      <c r="A383">
        <v>31</v>
      </c>
    </row>
    <row r="384" spans="1:1" x14ac:dyDescent="0.25">
      <c r="A384">
        <v>8465</v>
      </c>
    </row>
    <row r="385" spans="1:1" x14ac:dyDescent="0.25">
      <c r="A385" t="s">
        <v>101</v>
      </c>
    </row>
    <row r="386" spans="1:1" x14ac:dyDescent="0.25">
      <c r="A386" t="s">
        <v>102</v>
      </c>
    </row>
    <row r="387" spans="1:1" x14ac:dyDescent="0.25">
      <c r="A387" s="1">
        <v>0.51019999999999999</v>
      </c>
    </row>
    <row r="388" spans="1:1" x14ac:dyDescent="0.25">
      <c r="A388">
        <v>11716</v>
      </c>
    </row>
    <row r="389" spans="1:1" x14ac:dyDescent="0.25">
      <c r="A389">
        <v>1.66</v>
      </c>
    </row>
    <row r="390" spans="1:1" x14ac:dyDescent="0.25">
      <c r="A390">
        <v>16399</v>
      </c>
    </row>
    <row r="391" spans="1:1" x14ac:dyDescent="0.25">
      <c r="A391">
        <v>23</v>
      </c>
    </row>
    <row r="392" spans="1:1" x14ac:dyDescent="0.25">
      <c r="A392">
        <v>8786</v>
      </c>
    </row>
    <row r="393" spans="1:1" x14ac:dyDescent="0.25">
      <c r="A393" t="s">
        <v>103</v>
      </c>
    </row>
    <row r="394" spans="1:1" x14ac:dyDescent="0.25">
      <c r="A394" t="s">
        <v>104</v>
      </c>
    </row>
    <row r="395" spans="1:1" x14ac:dyDescent="0.25">
      <c r="A395" s="1">
        <v>0.50949999999999995</v>
      </c>
    </row>
    <row r="396" spans="1:1" x14ac:dyDescent="0.25">
      <c r="A396">
        <v>17003</v>
      </c>
    </row>
    <row r="397" spans="1:1" x14ac:dyDescent="0.25">
      <c r="A397">
        <v>1.61</v>
      </c>
    </row>
    <row r="398" spans="1:1" x14ac:dyDescent="0.25">
      <c r="A398">
        <v>17212</v>
      </c>
    </row>
    <row r="399" spans="1:1" x14ac:dyDescent="0.25">
      <c r="A399">
        <v>42</v>
      </c>
    </row>
    <row r="400" spans="1:1" x14ac:dyDescent="0.25">
      <c r="A400">
        <v>8100</v>
      </c>
    </row>
    <row r="401" spans="1:1" x14ac:dyDescent="0.25">
      <c r="A401" t="s">
        <v>105</v>
      </c>
    </row>
    <row r="402" spans="1:1" x14ac:dyDescent="0.25">
      <c r="A402" t="s">
        <v>106</v>
      </c>
    </row>
    <row r="403" spans="1:1" x14ac:dyDescent="0.25">
      <c r="A403" s="1">
        <v>0.50939999999999996</v>
      </c>
    </row>
    <row r="404" spans="1:1" x14ac:dyDescent="0.25">
      <c r="A404">
        <v>8477</v>
      </c>
    </row>
    <row r="405" spans="1:1" x14ac:dyDescent="0.25">
      <c r="A405">
        <v>1.68</v>
      </c>
    </row>
    <row r="406" spans="1:1" x14ac:dyDescent="0.25">
      <c r="A406">
        <v>19491</v>
      </c>
    </row>
    <row r="407" spans="1:1" x14ac:dyDescent="0.25">
      <c r="A407">
        <v>187</v>
      </c>
    </row>
    <row r="408" spans="1:1" x14ac:dyDescent="0.25">
      <c r="A408">
        <v>8463</v>
      </c>
    </row>
    <row r="409" spans="1:1" x14ac:dyDescent="0.25">
      <c r="A409" t="s">
        <v>245</v>
      </c>
    </row>
    <row r="410" spans="1:1" x14ac:dyDescent="0.25">
      <c r="A410" t="s">
        <v>107</v>
      </c>
    </row>
    <row r="411" spans="1:1" x14ac:dyDescent="0.25">
      <c r="A411" s="1">
        <v>0.50939999999999996</v>
      </c>
    </row>
    <row r="412" spans="1:1" x14ac:dyDescent="0.25">
      <c r="A412">
        <v>3610</v>
      </c>
    </row>
    <row r="413" spans="1:1" x14ac:dyDescent="0.25">
      <c r="A413">
        <v>1.94</v>
      </c>
    </row>
    <row r="414" spans="1:1" x14ac:dyDescent="0.25">
      <c r="A414">
        <v>9658</v>
      </c>
    </row>
    <row r="415" spans="1:1" x14ac:dyDescent="0.25">
      <c r="A415">
        <v>3487</v>
      </c>
    </row>
    <row r="416" spans="1:1" x14ac:dyDescent="0.25">
      <c r="A416">
        <v>32498</v>
      </c>
    </row>
    <row r="417" spans="1:1" x14ac:dyDescent="0.25">
      <c r="A417" t="s">
        <v>108</v>
      </c>
    </row>
    <row r="418" spans="1:1" x14ac:dyDescent="0.25">
      <c r="A418" t="s">
        <v>109</v>
      </c>
    </row>
    <row r="419" spans="1:1" x14ac:dyDescent="0.25">
      <c r="A419" s="1">
        <v>0.50819999999999999</v>
      </c>
    </row>
    <row r="420" spans="1:1" x14ac:dyDescent="0.25">
      <c r="A420">
        <v>8274</v>
      </c>
    </row>
    <row r="421" spans="1:1" x14ac:dyDescent="0.25">
      <c r="A421">
        <v>2.09</v>
      </c>
    </row>
    <row r="422" spans="1:1" x14ac:dyDescent="0.25">
      <c r="A422">
        <v>16329</v>
      </c>
    </row>
    <row r="423" spans="1:1" x14ac:dyDescent="0.25">
      <c r="A423">
        <v>64</v>
      </c>
    </row>
    <row r="424" spans="1:1" x14ac:dyDescent="0.25">
      <c r="A424">
        <v>26887</v>
      </c>
    </row>
    <row r="425" spans="1:1" x14ac:dyDescent="0.25">
      <c r="A425" t="s">
        <v>110</v>
      </c>
    </row>
    <row r="426" spans="1:1" x14ac:dyDescent="0.25">
      <c r="A426" t="s">
        <v>111</v>
      </c>
    </row>
    <row r="427" spans="1:1" x14ac:dyDescent="0.25">
      <c r="A427" s="1">
        <v>0.50800000000000001</v>
      </c>
    </row>
    <row r="428" spans="1:1" x14ac:dyDescent="0.25">
      <c r="A428">
        <v>12903</v>
      </c>
    </row>
    <row r="429" spans="1:1" x14ac:dyDescent="0.25">
      <c r="A429">
        <v>2.0699999999999998</v>
      </c>
    </row>
    <row r="430" spans="1:1" x14ac:dyDescent="0.25">
      <c r="A430">
        <v>11672</v>
      </c>
    </row>
    <row r="431" spans="1:1" x14ac:dyDescent="0.25">
      <c r="A431">
        <v>436</v>
      </c>
    </row>
    <row r="432" spans="1:1" x14ac:dyDescent="0.25">
      <c r="A432">
        <v>33573</v>
      </c>
    </row>
    <row r="433" spans="1:1" x14ac:dyDescent="0.25">
      <c r="A433" t="s">
        <v>112</v>
      </c>
    </row>
    <row r="434" spans="1:1" x14ac:dyDescent="0.25">
      <c r="A434" t="s">
        <v>113</v>
      </c>
    </row>
    <row r="435" spans="1:1" x14ac:dyDescent="0.25">
      <c r="A435" s="1">
        <v>0.50790000000000002</v>
      </c>
    </row>
    <row r="436" spans="1:1" x14ac:dyDescent="0.25">
      <c r="A436">
        <v>19262</v>
      </c>
    </row>
    <row r="437" spans="1:1" x14ac:dyDescent="0.25">
      <c r="A437">
        <v>1.71</v>
      </c>
    </row>
    <row r="438" spans="1:1" x14ac:dyDescent="0.25">
      <c r="A438">
        <v>10366</v>
      </c>
    </row>
    <row r="439" spans="1:1" x14ac:dyDescent="0.25">
      <c r="A439">
        <v>406</v>
      </c>
    </row>
    <row r="440" spans="1:1" x14ac:dyDescent="0.25">
      <c r="A440">
        <v>29738</v>
      </c>
    </row>
    <row r="441" spans="1:1" x14ac:dyDescent="0.25">
      <c r="A441" t="s">
        <v>114</v>
      </c>
    </row>
    <row r="442" spans="1:1" x14ac:dyDescent="0.25">
      <c r="A442" t="s">
        <v>115</v>
      </c>
    </row>
    <row r="443" spans="1:1" x14ac:dyDescent="0.25">
      <c r="A443" s="1">
        <v>0.50780000000000003</v>
      </c>
    </row>
    <row r="444" spans="1:1" x14ac:dyDescent="0.25">
      <c r="A444">
        <v>12245</v>
      </c>
    </row>
    <row r="445" spans="1:1" x14ac:dyDescent="0.25">
      <c r="A445">
        <v>1.64</v>
      </c>
    </row>
    <row r="446" spans="1:1" x14ac:dyDescent="0.25">
      <c r="A446">
        <v>17345</v>
      </c>
    </row>
    <row r="447" spans="1:1" x14ac:dyDescent="0.25">
      <c r="A447">
        <v>55</v>
      </c>
    </row>
    <row r="448" spans="1:1" x14ac:dyDescent="0.25">
      <c r="A448">
        <v>8627</v>
      </c>
    </row>
    <row r="449" spans="1:1" x14ac:dyDescent="0.25">
      <c r="A449" t="s">
        <v>116</v>
      </c>
    </row>
    <row r="450" spans="1:1" x14ac:dyDescent="0.25">
      <c r="A450" t="s">
        <v>117</v>
      </c>
    </row>
    <row r="451" spans="1:1" x14ac:dyDescent="0.25">
      <c r="A451" s="1">
        <v>0.50739999999999996</v>
      </c>
    </row>
    <row r="452" spans="1:1" x14ac:dyDescent="0.25">
      <c r="A452">
        <v>8888</v>
      </c>
    </row>
    <row r="453" spans="1:1" x14ac:dyDescent="0.25">
      <c r="A453">
        <v>1.65</v>
      </c>
    </row>
    <row r="454" spans="1:1" x14ac:dyDescent="0.25">
      <c r="A454">
        <v>18798</v>
      </c>
    </row>
    <row r="455" spans="1:1" x14ac:dyDescent="0.25">
      <c r="A455">
        <v>23</v>
      </c>
    </row>
    <row r="456" spans="1:1" x14ac:dyDescent="0.25">
      <c r="A456">
        <v>12219</v>
      </c>
    </row>
    <row r="457" spans="1:1" x14ac:dyDescent="0.25">
      <c r="A457" t="s">
        <v>118</v>
      </c>
    </row>
    <row r="458" spans="1:1" x14ac:dyDescent="0.25">
      <c r="A458" t="s">
        <v>119</v>
      </c>
    </row>
    <row r="459" spans="1:1" x14ac:dyDescent="0.25">
      <c r="A459" s="1">
        <v>0.5071</v>
      </c>
    </row>
    <row r="460" spans="1:1" x14ac:dyDescent="0.25">
      <c r="A460">
        <v>8216</v>
      </c>
    </row>
    <row r="461" spans="1:1" x14ac:dyDescent="0.25">
      <c r="A461">
        <v>1.53</v>
      </c>
    </row>
    <row r="462" spans="1:1" x14ac:dyDescent="0.25">
      <c r="A462">
        <v>15875</v>
      </c>
    </row>
    <row r="463" spans="1:1" x14ac:dyDescent="0.25">
      <c r="A463">
        <v>3066</v>
      </c>
    </row>
    <row r="464" spans="1:1" x14ac:dyDescent="0.25">
      <c r="A464">
        <v>8542</v>
      </c>
    </row>
    <row r="465" spans="1:1" x14ac:dyDescent="0.25">
      <c r="A465" t="s">
        <v>120</v>
      </c>
    </row>
    <row r="466" spans="1:1" x14ac:dyDescent="0.25">
      <c r="A466" t="s">
        <v>121</v>
      </c>
    </row>
    <row r="467" spans="1:1" x14ac:dyDescent="0.25">
      <c r="A467" s="1">
        <v>0.50700000000000001</v>
      </c>
    </row>
    <row r="468" spans="1:1" x14ac:dyDescent="0.25">
      <c r="A468">
        <v>3505</v>
      </c>
    </row>
    <row r="469" spans="1:1" x14ac:dyDescent="0.25">
      <c r="A469">
        <v>1.55</v>
      </c>
    </row>
    <row r="470" spans="1:1" x14ac:dyDescent="0.25">
      <c r="A470">
        <v>18002</v>
      </c>
    </row>
    <row r="471" spans="1:1" x14ac:dyDescent="0.25">
      <c r="A471">
        <v>40</v>
      </c>
    </row>
    <row r="472" spans="1:1" x14ac:dyDescent="0.25">
      <c r="A472">
        <v>9761</v>
      </c>
    </row>
    <row r="473" spans="1:1" x14ac:dyDescent="0.25">
      <c r="A473" t="s">
        <v>122</v>
      </c>
    </row>
    <row r="474" spans="1:1" x14ac:dyDescent="0.25">
      <c r="A474" t="s">
        <v>123</v>
      </c>
    </row>
    <row r="475" spans="1:1" x14ac:dyDescent="0.25">
      <c r="A475" s="1">
        <v>0.50590000000000002</v>
      </c>
    </row>
    <row r="476" spans="1:1" x14ac:dyDescent="0.25">
      <c r="A476">
        <v>6804</v>
      </c>
    </row>
    <row r="477" spans="1:1" x14ac:dyDescent="0.25">
      <c r="A477">
        <v>1.81</v>
      </c>
    </row>
    <row r="478" spans="1:1" x14ac:dyDescent="0.25">
      <c r="A478">
        <v>17519</v>
      </c>
    </row>
    <row r="479" spans="1:1" x14ac:dyDescent="0.25">
      <c r="A479">
        <v>29</v>
      </c>
    </row>
    <row r="480" spans="1:1" x14ac:dyDescent="0.25">
      <c r="A480">
        <v>12829</v>
      </c>
    </row>
    <row r="481" spans="1:1" x14ac:dyDescent="0.25">
      <c r="A481" t="s">
        <v>124</v>
      </c>
    </row>
    <row r="482" spans="1:1" x14ac:dyDescent="0.25">
      <c r="A482" t="s">
        <v>125</v>
      </c>
    </row>
    <row r="483" spans="1:1" x14ac:dyDescent="0.25">
      <c r="A483" s="1">
        <v>0.50570000000000004</v>
      </c>
    </row>
    <row r="484" spans="1:1" x14ac:dyDescent="0.25">
      <c r="A484">
        <v>7081</v>
      </c>
    </row>
    <row r="485" spans="1:1" x14ac:dyDescent="0.25">
      <c r="A485">
        <v>1.61</v>
      </c>
    </row>
    <row r="486" spans="1:1" x14ac:dyDescent="0.25">
      <c r="A486">
        <v>17669</v>
      </c>
    </row>
    <row r="487" spans="1:1" x14ac:dyDescent="0.25">
      <c r="A487">
        <v>12</v>
      </c>
    </row>
    <row r="488" spans="1:1" x14ac:dyDescent="0.25">
      <c r="A488">
        <v>7923</v>
      </c>
    </row>
    <row r="489" spans="1:1" x14ac:dyDescent="0.25">
      <c r="A489" t="s">
        <v>246</v>
      </c>
    </row>
    <row r="490" spans="1:1" x14ac:dyDescent="0.25">
      <c r="A490" t="s">
        <v>126</v>
      </c>
    </row>
    <row r="491" spans="1:1" x14ac:dyDescent="0.25">
      <c r="A491" s="1">
        <v>0.50529999999999997</v>
      </c>
    </row>
    <row r="492" spans="1:1" x14ac:dyDescent="0.25">
      <c r="A492">
        <v>10027</v>
      </c>
    </row>
    <row r="493" spans="1:1" x14ac:dyDescent="0.25">
      <c r="A493">
        <v>1.6</v>
      </c>
    </row>
    <row r="494" spans="1:1" x14ac:dyDescent="0.25">
      <c r="A494">
        <v>18569</v>
      </c>
    </row>
    <row r="495" spans="1:1" x14ac:dyDescent="0.25">
      <c r="A495">
        <v>110</v>
      </c>
    </row>
    <row r="496" spans="1:1" x14ac:dyDescent="0.25">
      <c r="A496">
        <v>6388</v>
      </c>
    </row>
    <row r="497" spans="1:1" x14ac:dyDescent="0.25">
      <c r="A497" t="s">
        <v>127</v>
      </c>
    </row>
    <row r="498" spans="1:1" x14ac:dyDescent="0.25">
      <c r="A498" t="s">
        <v>128</v>
      </c>
    </row>
    <row r="499" spans="1:1" x14ac:dyDescent="0.25">
      <c r="A499" s="1">
        <v>0.50519999999999998</v>
      </c>
    </row>
    <row r="500" spans="1:1" x14ac:dyDescent="0.25">
      <c r="A500">
        <v>4341</v>
      </c>
    </row>
    <row r="501" spans="1:1" x14ac:dyDescent="0.25">
      <c r="A501">
        <v>1.96</v>
      </c>
    </row>
    <row r="502" spans="1:1" x14ac:dyDescent="0.25">
      <c r="A502">
        <v>12266</v>
      </c>
    </row>
    <row r="503" spans="1:1" x14ac:dyDescent="0.25">
      <c r="A503">
        <v>157</v>
      </c>
    </row>
    <row r="504" spans="1:1" x14ac:dyDescent="0.25">
      <c r="A504">
        <v>24034</v>
      </c>
    </row>
    <row r="505" spans="1:1" x14ac:dyDescent="0.25">
      <c r="A505" t="s">
        <v>129</v>
      </c>
    </row>
    <row r="506" spans="1:1" x14ac:dyDescent="0.25">
      <c r="A506" t="s">
        <v>130</v>
      </c>
    </row>
    <row r="507" spans="1:1" x14ac:dyDescent="0.25">
      <c r="A507" s="1">
        <v>0.50509999999999999</v>
      </c>
    </row>
    <row r="508" spans="1:1" x14ac:dyDescent="0.25">
      <c r="A508">
        <v>12180</v>
      </c>
    </row>
    <row r="509" spans="1:1" x14ac:dyDescent="0.25">
      <c r="A509">
        <v>1.75</v>
      </c>
    </row>
    <row r="510" spans="1:1" x14ac:dyDescent="0.25">
      <c r="A510">
        <v>17348</v>
      </c>
    </row>
    <row r="511" spans="1:1" x14ac:dyDescent="0.25">
      <c r="A511">
        <v>92</v>
      </c>
    </row>
    <row r="512" spans="1:1" x14ac:dyDescent="0.25">
      <c r="A512">
        <v>31049</v>
      </c>
    </row>
    <row r="513" spans="1:1" x14ac:dyDescent="0.25">
      <c r="A513" t="s">
        <v>131</v>
      </c>
    </row>
    <row r="514" spans="1:1" x14ac:dyDescent="0.25">
      <c r="A514" t="s">
        <v>132</v>
      </c>
    </row>
    <row r="515" spans="1:1" x14ac:dyDescent="0.25">
      <c r="A515" s="1">
        <v>0.50470000000000004</v>
      </c>
    </row>
    <row r="516" spans="1:1" x14ac:dyDescent="0.25">
      <c r="A516">
        <v>4163</v>
      </c>
    </row>
    <row r="517" spans="1:1" x14ac:dyDescent="0.25">
      <c r="A517">
        <v>1.36</v>
      </c>
    </row>
    <row r="518" spans="1:1" x14ac:dyDescent="0.25">
      <c r="A518">
        <v>15629</v>
      </c>
    </row>
    <row r="519" spans="1:1" x14ac:dyDescent="0.25">
      <c r="A519">
        <v>1119</v>
      </c>
    </row>
    <row r="520" spans="1:1" x14ac:dyDescent="0.25">
      <c r="A520">
        <v>9406</v>
      </c>
    </row>
    <row r="521" spans="1:1" x14ac:dyDescent="0.25">
      <c r="A521" t="s">
        <v>133</v>
      </c>
    </row>
    <row r="522" spans="1:1" x14ac:dyDescent="0.25">
      <c r="A522" t="s">
        <v>134</v>
      </c>
    </row>
    <row r="523" spans="1:1" x14ac:dyDescent="0.25">
      <c r="A523" s="1">
        <v>0.50449999999999995</v>
      </c>
    </row>
    <row r="524" spans="1:1" x14ac:dyDescent="0.25">
      <c r="A524">
        <v>7381</v>
      </c>
    </row>
    <row r="525" spans="1:1" x14ac:dyDescent="0.25">
      <c r="A525">
        <v>1.65</v>
      </c>
    </row>
    <row r="526" spans="1:1" x14ac:dyDescent="0.25">
      <c r="A526">
        <v>10035</v>
      </c>
    </row>
    <row r="527" spans="1:1" x14ac:dyDescent="0.25">
      <c r="A527">
        <v>669</v>
      </c>
    </row>
    <row r="528" spans="1:1" x14ac:dyDescent="0.25">
      <c r="A528">
        <v>31995</v>
      </c>
    </row>
    <row r="529" spans="1:1" x14ac:dyDescent="0.25">
      <c r="A529" t="s">
        <v>135</v>
      </c>
    </row>
    <row r="530" spans="1:1" x14ac:dyDescent="0.25">
      <c r="A530" t="s">
        <v>136</v>
      </c>
    </row>
    <row r="531" spans="1:1" x14ac:dyDescent="0.25">
      <c r="A531" s="1">
        <v>0.50360000000000005</v>
      </c>
    </row>
    <row r="532" spans="1:1" x14ac:dyDescent="0.25">
      <c r="A532">
        <v>16443</v>
      </c>
    </row>
    <row r="533" spans="1:1" x14ac:dyDescent="0.25">
      <c r="A533">
        <v>1.93</v>
      </c>
    </row>
    <row r="534" spans="1:1" x14ac:dyDescent="0.25">
      <c r="A534">
        <v>15985</v>
      </c>
    </row>
    <row r="535" spans="1:1" x14ac:dyDescent="0.25">
      <c r="A535">
        <v>22</v>
      </c>
    </row>
    <row r="536" spans="1:1" x14ac:dyDescent="0.25">
      <c r="A536">
        <v>10144</v>
      </c>
    </row>
    <row r="537" spans="1:1" x14ac:dyDescent="0.25">
      <c r="A537" t="s">
        <v>137</v>
      </c>
    </row>
    <row r="538" spans="1:1" x14ac:dyDescent="0.25">
      <c r="A538" t="s">
        <v>138</v>
      </c>
    </row>
    <row r="539" spans="1:1" x14ac:dyDescent="0.25">
      <c r="A539" s="1">
        <v>0.50229999999999997</v>
      </c>
    </row>
    <row r="540" spans="1:1" x14ac:dyDescent="0.25">
      <c r="A540">
        <v>12166</v>
      </c>
    </row>
    <row r="541" spans="1:1" x14ac:dyDescent="0.25">
      <c r="A541">
        <v>1.62</v>
      </c>
    </row>
    <row r="542" spans="1:1" x14ac:dyDescent="0.25">
      <c r="A542">
        <v>11894</v>
      </c>
    </row>
    <row r="543" spans="1:1" x14ac:dyDescent="0.25">
      <c r="A543">
        <v>3517</v>
      </c>
    </row>
    <row r="544" spans="1:1" x14ac:dyDescent="0.25">
      <c r="A544">
        <v>30092</v>
      </c>
    </row>
    <row r="545" spans="1:1" x14ac:dyDescent="0.25">
      <c r="A545" t="s">
        <v>139</v>
      </c>
    </row>
    <row r="546" spans="1:1" x14ac:dyDescent="0.25">
      <c r="A546" t="s">
        <v>140</v>
      </c>
    </row>
    <row r="547" spans="1:1" x14ac:dyDescent="0.25">
      <c r="A547" s="1">
        <v>0.50229999999999997</v>
      </c>
    </row>
    <row r="548" spans="1:1" x14ac:dyDescent="0.25">
      <c r="A548">
        <v>5839</v>
      </c>
    </row>
    <row r="549" spans="1:1" x14ac:dyDescent="0.25">
      <c r="A549">
        <v>1.61</v>
      </c>
    </row>
    <row r="550" spans="1:1" x14ac:dyDescent="0.25">
      <c r="A550">
        <v>19287</v>
      </c>
    </row>
    <row r="551" spans="1:1" x14ac:dyDescent="0.25">
      <c r="A551">
        <v>109</v>
      </c>
    </row>
    <row r="552" spans="1:1" x14ac:dyDescent="0.25">
      <c r="A552">
        <v>19582</v>
      </c>
    </row>
    <row r="553" spans="1:1" x14ac:dyDescent="0.25">
      <c r="A553" t="s">
        <v>141</v>
      </c>
    </row>
    <row r="554" spans="1:1" x14ac:dyDescent="0.25">
      <c r="A554" t="s">
        <v>142</v>
      </c>
    </row>
    <row r="555" spans="1:1" x14ac:dyDescent="0.25">
      <c r="A555" s="1">
        <v>0.502</v>
      </c>
    </row>
    <row r="556" spans="1:1" x14ac:dyDescent="0.25">
      <c r="A556">
        <v>8687</v>
      </c>
    </row>
    <row r="557" spans="1:1" x14ac:dyDescent="0.25">
      <c r="A557">
        <v>1.69</v>
      </c>
    </row>
    <row r="558" spans="1:1" x14ac:dyDescent="0.25">
      <c r="A558">
        <v>13883</v>
      </c>
    </row>
    <row r="559" spans="1:1" x14ac:dyDescent="0.25">
      <c r="A559">
        <v>248</v>
      </c>
    </row>
    <row r="560" spans="1:1" x14ac:dyDescent="0.25">
      <c r="A560">
        <v>29974</v>
      </c>
    </row>
    <row r="561" spans="1:1" x14ac:dyDescent="0.25">
      <c r="A561" t="s">
        <v>143</v>
      </c>
    </row>
    <row r="562" spans="1:1" x14ac:dyDescent="0.25">
      <c r="A562" t="s">
        <v>144</v>
      </c>
    </row>
    <row r="563" spans="1:1" x14ac:dyDescent="0.25">
      <c r="A563" s="1">
        <v>0.50080000000000002</v>
      </c>
    </row>
    <row r="564" spans="1:1" x14ac:dyDescent="0.25">
      <c r="A564">
        <v>10985</v>
      </c>
    </row>
    <row r="565" spans="1:1" x14ac:dyDescent="0.25">
      <c r="A565">
        <v>1.91</v>
      </c>
    </row>
    <row r="566" spans="1:1" x14ac:dyDescent="0.25">
      <c r="A566">
        <v>16001</v>
      </c>
    </row>
    <row r="567" spans="1:1" x14ac:dyDescent="0.25">
      <c r="A567">
        <v>1121</v>
      </c>
    </row>
    <row r="568" spans="1:1" x14ac:dyDescent="0.25">
      <c r="A568">
        <v>32169</v>
      </c>
    </row>
    <row r="569" spans="1:1" x14ac:dyDescent="0.25">
      <c r="A569" t="s">
        <v>247</v>
      </c>
    </row>
    <row r="570" spans="1:1" x14ac:dyDescent="0.25">
      <c r="A570" t="s">
        <v>145</v>
      </c>
    </row>
    <row r="571" spans="1:1" x14ac:dyDescent="0.25">
      <c r="A571" s="2">
        <v>0.5</v>
      </c>
    </row>
    <row r="572" spans="1:1" x14ac:dyDescent="0.25">
      <c r="A572">
        <v>6444</v>
      </c>
    </row>
    <row r="573" spans="1:1" x14ac:dyDescent="0.25">
      <c r="A573">
        <v>1.54</v>
      </c>
    </row>
    <row r="574" spans="1:1" x14ac:dyDescent="0.25">
      <c r="A574">
        <v>18446</v>
      </c>
    </row>
    <row r="575" spans="1:1" x14ac:dyDescent="0.25">
      <c r="A575">
        <v>121</v>
      </c>
    </row>
    <row r="576" spans="1:1" x14ac:dyDescent="0.25">
      <c r="A576">
        <v>6648</v>
      </c>
    </row>
    <row r="577" spans="1:1" x14ac:dyDescent="0.25">
      <c r="A577" t="s">
        <v>146</v>
      </c>
    </row>
    <row r="578" spans="1:1" x14ac:dyDescent="0.25">
      <c r="A578" t="s">
        <v>147</v>
      </c>
    </row>
    <row r="579" spans="1:1" x14ac:dyDescent="0.25">
      <c r="A579" s="1">
        <v>0.49959999999999999</v>
      </c>
    </row>
    <row r="580" spans="1:1" x14ac:dyDescent="0.25">
      <c r="A580">
        <v>5288</v>
      </c>
    </row>
    <row r="581" spans="1:1" x14ac:dyDescent="0.25">
      <c r="A581">
        <v>1.68</v>
      </c>
    </row>
    <row r="582" spans="1:1" x14ac:dyDescent="0.25">
      <c r="A582">
        <v>14331</v>
      </c>
    </row>
    <row r="583" spans="1:1" x14ac:dyDescent="0.25">
      <c r="A583">
        <v>150</v>
      </c>
    </row>
    <row r="584" spans="1:1" x14ac:dyDescent="0.25">
      <c r="A584">
        <v>25160</v>
      </c>
    </row>
    <row r="585" spans="1:1" x14ac:dyDescent="0.25">
      <c r="A585" t="s">
        <v>148</v>
      </c>
    </row>
    <row r="586" spans="1:1" x14ac:dyDescent="0.25">
      <c r="A586" t="s">
        <v>149</v>
      </c>
    </row>
    <row r="587" spans="1:1" x14ac:dyDescent="0.25">
      <c r="A587" s="1">
        <v>0.49940000000000001</v>
      </c>
    </row>
    <row r="588" spans="1:1" x14ac:dyDescent="0.25">
      <c r="A588">
        <v>6476</v>
      </c>
    </row>
    <row r="589" spans="1:1" x14ac:dyDescent="0.25">
      <c r="A589">
        <v>1.5</v>
      </c>
    </row>
    <row r="590" spans="1:1" x14ac:dyDescent="0.25">
      <c r="A590">
        <v>11612</v>
      </c>
    </row>
    <row r="591" spans="1:1" x14ac:dyDescent="0.25">
      <c r="A591">
        <v>6126</v>
      </c>
    </row>
    <row r="592" spans="1:1" x14ac:dyDescent="0.25">
      <c r="A592">
        <v>15132</v>
      </c>
    </row>
    <row r="593" spans="1:1" x14ac:dyDescent="0.25">
      <c r="A593" t="s">
        <v>150</v>
      </c>
    </row>
    <row r="594" spans="1:1" x14ac:dyDescent="0.25">
      <c r="A594" t="s">
        <v>151</v>
      </c>
    </row>
    <row r="595" spans="1:1" x14ac:dyDescent="0.25">
      <c r="A595" s="1">
        <v>0.49819999999999998</v>
      </c>
    </row>
    <row r="596" spans="1:1" x14ac:dyDescent="0.25">
      <c r="A596">
        <v>5620</v>
      </c>
    </row>
    <row r="597" spans="1:1" x14ac:dyDescent="0.25">
      <c r="A597">
        <v>2</v>
      </c>
    </row>
    <row r="598" spans="1:1" x14ac:dyDescent="0.25">
      <c r="A598">
        <v>8070</v>
      </c>
    </row>
    <row r="599" spans="1:1" x14ac:dyDescent="0.25">
      <c r="A599">
        <v>531</v>
      </c>
    </row>
    <row r="600" spans="1:1" x14ac:dyDescent="0.25">
      <c r="A600">
        <v>32145</v>
      </c>
    </row>
    <row r="601" spans="1:1" x14ac:dyDescent="0.25">
      <c r="A601" t="s">
        <v>152</v>
      </c>
    </row>
    <row r="602" spans="1:1" x14ac:dyDescent="0.25">
      <c r="A602" t="s">
        <v>153</v>
      </c>
    </row>
    <row r="603" spans="1:1" x14ac:dyDescent="0.25">
      <c r="A603" s="1">
        <v>0.49809999999999999</v>
      </c>
    </row>
    <row r="604" spans="1:1" x14ac:dyDescent="0.25">
      <c r="A604">
        <v>6780</v>
      </c>
    </row>
    <row r="605" spans="1:1" x14ac:dyDescent="0.25">
      <c r="A605">
        <v>1.71</v>
      </c>
    </row>
    <row r="606" spans="1:1" x14ac:dyDescent="0.25">
      <c r="A606">
        <v>10690</v>
      </c>
    </row>
    <row r="607" spans="1:1" x14ac:dyDescent="0.25">
      <c r="A607">
        <v>1652</v>
      </c>
    </row>
    <row r="608" spans="1:1" x14ac:dyDescent="0.25">
      <c r="A608">
        <v>34914</v>
      </c>
    </row>
    <row r="609" spans="1:1" x14ac:dyDescent="0.25">
      <c r="A609" t="s">
        <v>154</v>
      </c>
    </row>
    <row r="610" spans="1:1" x14ac:dyDescent="0.25">
      <c r="A610" t="s">
        <v>155</v>
      </c>
    </row>
    <row r="611" spans="1:1" x14ac:dyDescent="0.25">
      <c r="A611" s="1">
        <v>0.49659999999999999</v>
      </c>
    </row>
    <row r="612" spans="1:1" x14ac:dyDescent="0.25">
      <c r="A612">
        <v>7394</v>
      </c>
    </row>
    <row r="613" spans="1:1" x14ac:dyDescent="0.25">
      <c r="A613">
        <v>1.69</v>
      </c>
    </row>
    <row r="614" spans="1:1" x14ac:dyDescent="0.25">
      <c r="A614">
        <v>15577</v>
      </c>
    </row>
    <row r="615" spans="1:1" x14ac:dyDescent="0.25">
      <c r="A615">
        <v>64</v>
      </c>
    </row>
    <row r="616" spans="1:1" x14ac:dyDescent="0.25">
      <c r="A616">
        <v>30859</v>
      </c>
    </row>
    <row r="617" spans="1:1" x14ac:dyDescent="0.25">
      <c r="A617" t="s">
        <v>156</v>
      </c>
    </row>
    <row r="618" spans="1:1" x14ac:dyDescent="0.25">
      <c r="A618" t="s">
        <v>157</v>
      </c>
    </row>
    <row r="619" spans="1:1" x14ac:dyDescent="0.25">
      <c r="A619" s="1">
        <v>0.49609999999999999</v>
      </c>
    </row>
    <row r="620" spans="1:1" x14ac:dyDescent="0.25">
      <c r="A620">
        <v>20277</v>
      </c>
    </row>
    <row r="621" spans="1:1" x14ac:dyDescent="0.25">
      <c r="A621">
        <v>1.69</v>
      </c>
    </row>
    <row r="622" spans="1:1" x14ac:dyDescent="0.25">
      <c r="A622">
        <v>17705</v>
      </c>
    </row>
    <row r="623" spans="1:1" x14ac:dyDescent="0.25">
      <c r="A623">
        <v>55</v>
      </c>
    </row>
    <row r="624" spans="1:1" x14ac:dyDescent="0.25">
      <c r="A624">
        <v>7682</v>
      </c>
    </row>
    <row r="625" spans="1:1" x14ac:dyDescent="0.25">
      <c r="A625" t="s">
        <v>158</v>
      </c>
    </row>
    <row r="626" spans="1:1" x14ac:dyDescent="0.25">
      <c r="A626" t="s">
        <v>159</v>
      </c>
    </row>
    <row r="627" spans="1:1" x14ac:dyDescent="0.25">
      <c r="A627" s="1">
        <v>0.49540000000000001</v>
      </c>
    </row>
    <row r="628" spans="1:1" x14ac:dyDescent="0.25">
      <c r="A628">
        <v>13271</v>
      </c>
    </row>
    <row r="629" spans="1:1" x14ac:dyDescent="0.25">
      <c r="A629">
        <v>1.85</v>
      </c>
    </row>
    <row r="630" spans="1:1" x14ac:dyDescent="0.25">
      <c r="A630">
        <v>10103</v>
      </c>
    </row>
    <row r="631" spans="1:1" x14ac:dyDescent="0.25">
      <c r="A631">
        <v>540</v>
      </c>
    </row>
    <row r="632" spans="1:1" x14ac:dyDescent="0.25">
      <c r="A632">
        <v>33202</v>
      </c>
    </row>
    <row r="633" spans="1:1" x14ac:dyDescent="0.25">
      <c r="A633" t="s">
        <v>160</v>
      </c>
    </row>
    <row r="634" spans="1:1" x14ac:dyDescent="0.25">
      <c r="A634" t="s">
        <v>161</v>
      </c>
    </row>
    <row r="635" spans="1:1" x14ac:dyDescent="0.25">
      <c r="A635" s="1">
        <v>0.495</v>
      </c>
    </row>
    <row r="636" spans="1:1" x14ac:dyDescent="0.25">
      <c r="A636">
        <v>8917</v>
      </c>
    </row>
    <row r="637" spans="1:1" x14ac:dyDescent="0.25">
      <c r="A637">
        <v>1.96</v>
      </c>
    </row>
    <row r="638" spans="1:1" x14ac:dyDescent="0.25">
      <c r="A638">
        <v>16265</v>
      </c>
    </row>
    <row r="639" spans="1:1" x14ac:dyDescent="0.25">
      <c r="A639">
        <v>22</v>
      </c>
    </row>
    <row r="640" spans="1:1" x14ac:dyDescent="0.25">
      <c r="A640">
        <v>13139</v>
      </c>
    </row>
    <row r="641" spans="1:1" x14ac:dyDescent="0.25">
      <c r="A641" t="s">
        <v>162</v>
      </c>
    </row>
    <row r="642" spans="1:1" x14ac:dyDescent="0.25">
      <c r="A642" t="s">
        <v>163</v>
      </c>
    </row>
    <row r="643" spans="1:1" x14ac:dyDescent="0.25">
      <c r="A643" s="1">
        <v>0.49490000000000001</v>
      </c>
    </row>
    <row r="644" spans="1:1" x14ac:dyDescent="0.25">
      <c r="A644">
        <v>5300</v>
      </c>
    </row>
    <row r="645" spans="1:1" x14ac:dyDescent="0.25">
      <c r="A645">
        <v>2.0699999999999998</v>
      </c>
    </row>
    <row r="646" spans="1:1" x14ac:dyDescent="0.25">
      <c r="A646">
        <v>10036</v>
      </c>
    </row>
    <row r="647" spans="1:1" x14ac:dyDescent="0.25">
      <c r="A647">
        <v>592</v>
      </c>
    </row>
    <row r="648" spans="1:1" x14ac:dyDescent="0.25">
      <c r="A648">
        <v>34687</v>
      </c>
    </row>
    <row r="649" spans="1:1" x14ac:dyDescent="0.25">
      <c r="A649" t="s">
        <v>164</v>
      </c>
    </row>
    <row r="650" spans="1:1" x14ac:dyDescent="0.25">
      <c r="A650" t="s">
        <v>165</v>
      </c>
    </row>
    <row r="651" spans="1:1" x14ac:dyDescent="0.25">
      <c r="A651" s="1">
        <v>0.49480000000000002</v>
      </c>
    </row>
    <row r="652" spans="1:1" x14ac:dyDescent="0.25">
      <c r="A652">
        <v>17456</v>
      </c>
    </row>
    <row r="653" spans="1:1" x14ac:dyDescent="0.25">
      <c r="A653">
        <v>1.7</v>
      </c>
    </row>
    <row r="654" spans="1:1" x14ac:dyDescent="0.25">
      <c r="A654">
        <v>15877</v>
      </c>
    </row>
    <row r="655" spans="1:1" x14ac:dyDescent="0.25">
      <c r="A655">
        <v>243</v>
      </c>
    </row>
    <row r="656" spans="1:1" x14ac:dyDescent="0.25">
      <c r="A656">
        <v>25162</v>
      </c>
    </row>
    <row r="657" spans="1:1" x14ac:dyDescent="0.25">
      <c r="A657" t="s">
        <v>166</v>
      </c>
    </row>
    <row r="658" spans="1:1" x14ac:dyDescent="0.25">
      <c r="A658" t="s">
        <v>167</v>
      </c>
    </row>
    <row r="659" spans="1:1" x14ac:dyDescent="0.25">
      <c r="A659" s="1">
        <v>0.4945</v>
      </c>
    </row>
    <row r="660" spans="1:1" x14ac:dyDescent="0.25">
      <c r="A660">
        <v>9007</v>
      </c>
    </row>
    <row r="661" spans="1:1" x14ac:dyDescent="0.25">
      <c r="A661">
        <v>1.93</v>
      </c>
    </row>
    <row r="662" spans="1:1" x14ac:dyDescent="0.25">
      <c r="A662">
        <v>16255</v>
      </c>
    </row>
    <row r="663" spans="1:1" x14ac:dyDescent="0.25">
      <c r="A663">
        <v>44</v>
      </c>
    </row>
    <row r="664" spans="1:1" x14ac:dyDescent="0.25">
      <c r="A664">
        <v>13221</v>
      </c>
    </row>
    <row r="665" spans="1:1" x14ac:dyDescent="0.25">
      <c r="A665" t="s">
        <v>168</v>
      </c>
    </row>
    <row r="666" spans="1:1" x14ac:dyDescent="0.25">
      <c r="A666" t="s">
        <v>169</v>
      </c>
    </row>
    <row r="667" spans="1:1" x14ac:dyDescent="0.25">
      <c r="A667" s="1">
        <v>0.49230000000000002</v>
      </c>
    </row>
    <row r="668" spans="1:1" x14ac:dyDescent="0.25">
      <c r="A668">
        <v>8060</v>
      </c>
    </row>
    <row r="669" spans="1:1" x14ac:dyDescent="0.25">
      <c r="A669">
        <v>1.43</v>
      </c>
    </row>
    <row r="670" spans="1:1" x14ac:dyDescent="0.25">
      <c r="A670">
        <v>17532</v>
      </c>
    </row>
    <row r="671" spans="1:1" x14ac:dyDescent="0.25">
      <c r="A671">
        <v>47</v>
      </c>
    </row>
    <row r="672" spans="1:1" x14ac:dyDescent="0.25">
      <c r="A672">
        <v>7663</v>
      </c>
    </row>
    <row r="673" spans="1:1" x14ac:dyDescent="0.25">
      <c r="A673" t="s">
        <v>170</v>
      </c>
    </row>
    <row r="674" spans="1:1" x14ac:dyDescent="0.25">
      <c r="A674" t="s">
        <v>171</v>
      </c>
    </row>
    <row r="675" spans="1:1" x14ac:dyDescent="0.25">
      <c r="A675" s="1">
        <v>0.48920000000000002</v>
      </c>
    </row>
    <row r="676" spans="1:1" x14ac:dyDescent="0.25">
      <c r="A676">
        <v>9867</v>
      </c>
    </row>
    <row r="677" spans="1:1" x14ac:dyDescent="0.25">
      <c r="A677">
        <v>1.9</v>
      </c>
    </row>
    <row r="678" spans="1:1" x14ac:dyDescent="0.25">
      <c r="A678">
        <v>15872</v>
      </c>
    </row>
    <row r="679" spans="1:1" x14ac:dyDescent="0.25">
      <c r="A679">
        <v>19</v>
      </c>
    </row>
    <row r="680" spans="1:1" x14ac:dyDescent="0.25">
      <c r="A680">
        <v>10151</v>
      </c>
    </row>
    <row r="681" spans="1:1" x14ac:dyDescent="0.25">
      <c r="A681" t="s">
        <v>172</v>
      </c>
    </row>
    <row r="682" spans="1:1" x14ac:dyDescent="0.25">
      <c r="A682" t="s">
        <v>173</v>
      </c>
    </row>
    <row r="683" spans="1:1" x14ac:dyDescent="0.25">
      <c r="A683" s="1">
        <v>0.48870000000000002</v>
      </c>
    </row>
    <row r="684" spans="1:1" x14ac:dyDescent="0.25">
      <c r="A684">
        <v>10754</v>
      </c>
    </row>
    <row r="685" spans="1:1" x14ac:dyDescent="0.25">
      <c r="A685">
        <v>1.73</v>
      </c>
    </row>
    <row r="686" spans="1:1" x14ac:dyDescent="0.25">
      <c r="A686">
        <v>17017</v>
      </c>
    </row>
    <row r="687" spans="1:1" x14ac:dyDescent="0.25">
      <c r="A687">
        <v>26</v>
      </c>
    </row>
    <row r="688" spans="1:1" x14ac:dyDescent="0.25">
      <c r="A688">
        <v>7988</v>
      </c>
    </row>
    <row r="689" spans="1:1" x14ac:dyDescent="0.25">
      <c r="A689" t="s">
        <v>174</v>
      </c>
    </row>
    <row r="690" spans="1:1" x14ac:dyDescent="0.25">
      <c r="A690" t="s">
        <v>175</v>
      </c>
    </row>
    <row r="691" spans="1:1" x14ac:dyDescent="0.25">
      <c r="A691" s="1">
        <v>0.4844</v>
      </c>
    </row>
    <row r="692" spans="1:1" x14ac:dyDescent="0.25">
      <c r="A692">
        <v>16095</v>
      </c>
    </row>
    <row r="693" spans="1:1" x14ac:dyDescent="0.25">
      <c r="A693">
        <v>1.75</v>
      </c>
    </row>
    <row r="694" spans="1:1" x14ac:dyDescent="0.25">
      <c r="A694">
        <v>15721</v>
      </c>
    </row>
    <row r="695" spans="1:1" x14ac:dyDescent="0.25">
      <c r="A695">
        <v>20</v>
      </c>
    </row>
    <row r="696" spans="1:1" x14ac:dyDescent="0.25">
      <c r="A696">
        <v>11027</v>
      </c>
    </row>
    <row r="697" spans="1:1" x14ac:dyDescent="0.25">
      <c r="A697" t="s">
        <v>176</v>
      </c>
    </row>
    <row r="698" spans="1:1" x14ac:dyDescent="0.25">
      <c r="A698" t="s">
        <v>177</v>
      </c>
    </row>
    <row r="699" spans="1:1" x14ac:dyDescent="0.25">
      <c r="A699" s="1">
        <v>0.48370000000000002</v>
      </c>
    </row>
    <row r="700" spans="1:1" x14ac:dyDescent="0.25">
      <c r="A700">
        <v>4836</v>
      </c>
    </row>
    <row r="701" spans="1:1" x14ac:dyDescent="0.25">
      <c r="A701">
        <v>1.79</v>
      </c>
    </row>
    <row r="702" spans="1:1" x14ac:dyDescent="0.25">
      <c r="A702">
        <v>12459</v>
      </c>
    </row>
    <row r="703" spans="1:1" x14ac:dyDescent="0.25">
      <c r="A703">
        <v>279</v>
      </c>
    </row>
    <row r="704" spans="1:1" x14ac:dyDescent="0.25">
      <c r="A704">
        <v>13882</v>
      </c>
    </row>
    <row r="705" spans="1:1" x14ac:dyDescent="0.25">
      <c r="A705" t="s">
        <v>178</v>
      </c>
    </row>
    <row r="706" spans="1:1" x14ac:dyDescent="0.25">
      <c r="A706" t="s">
        <v>179</v>
      </c>
    </row>
    <row r="707" spans="1:1" x14ac:dyDescent="0.25">
      <c r="A707" s="1">
        <v>0.48249999999999998</v>
      </c>
    </row>
    <row r="708" spans="1:1" x14ac:dyDescent="0.25">
      <c r="A708">
        <v>7187</v>
      </c>
    </row>
    <row r="709" spans="1:1" x14ac:dyDescent="0.25">
      <c r="A709">
        <v>1.82</v>
      </c>
    </row>
    <row r="710" spans="1:1" x14ac:dyDescent="0.25">
      <c r="A710">
        <v>16597</v>
      </c>
    </row>
    <row r="711" spans="1:1" x14ac:dyDescent="0.25">
      <c r="A711">
        <v>21</v>
      </c>
    </row>
    <row r="712" spans="1:1" x14ac:dyDescent="0.25">
      <c r="A712">
        <v>10919</v>
      </c>
    </row>
    <row r="713" spans="1:1" x14ac:dyDescent="0.25">
      <c r="A713" t="s">
        <v>180</v>
      </c>
    </row>
    <row r="714" spans="1:1" x14ac:dyDescent="0.25">
      <c r="A714" t="s">
        <v>181</v>
      </c>
    </row>
    <row r="715" spans="1:1" x14ac:dyDescent="0.25">
      <c r="A715" s="1">
        <v>0.48130000000000001</v>
      </c>
    </row>
    <row r="716" spans="1:1" x14ac:dyDescent="0.25">
      <c r="A716">
        <v>1681</v>
      </c>
    </row>
    <row r="717" spans="1:1" x14ac:dyDescent="0.25">
      <c r="A717">
        <v>1.44</v>
      </c>
    </row>
    <row r="718" spans="1:1" x14ac:dyDescent="0.25">
      <c r="A718">
        <v>15893</v>
      </c>
    </row>
    <row r="719" spans="1:1" x14ac:dyDescent="0.25">
      <c r="A719">
        <v>89</v>
      </c>
    </row>
    <row r="720" spans="1:1" x14ac:dyDescent="0.25">
      <c r="A720">
        <v>7552</v>
      </c>
    </row>
    <row r="721" spans="1:1" x14ac:dyDescent="0.25">
      <c r="A721" t="s">
        <v>182</v>
      </c>
    </row>
    <row r="722" spans="1:1" x14ac:dyDescent="0.25">
      <c r="A722" t="s">
        <v>183</v>
      </c>
    </row>
    <row r="723" spans="1:1" x14ac:dyDescent="0.25">
      <c r="A723" s="1">
        <v>0.4798</v>
      </c>
    </row>
    <row r="724" spans="1:1" x14ac:dyDescent="0.25">
      <c r="A724">
        <v>5181</v>
      </c>
    </row>
    <row r="725" spans="1:1" x14ac:dyDescent="0.25">
      <c r="A725">
        <v>1.56</v>
      </c>
    </row>
    <row r="726" spans="1:1" x14ac:dyDescent="0.25">
      <c r="A726">
        <v>17833</v>
      </c>
    </row>
    <row r="727" spans="1:1" x14ac:dyDescent="0.25">
      <c r="A727">
        <v>90</v>
      </c>
    </row>
    <row r="728" spans="1:1" x14ac:dyDescent="0.25">
      <c r="A728">
        <v>6851</v>
      </c>
    </row>
    <row r="729" spans="1:1" x14ac:dyDescent="0.25">
      <c r="A729" t="s">
        <v>184</v>
      </c>
    </row>
    <row r="730" spans="1:1" x14ac:dyDescent="0.25">
      <c r="A730" t="s">
        <v>185</v>
      </c>
    </row>
    <row r="731" spans="1:1" x14ac:dyDescent="0.25">
      <c r="A731" s="1">
        <v>0.4793</v>
      </c>
    </row>
    <row r="732" spans="1:1" x14ac:dyDescent="0.25">
      <c r="A732">
        <v>6835</v>
      </c>
    </row>
    <row r="733" spans="1:1" x14ac:dyDescent="0.25">
      <c r="A733">
        <v>1.88</v>
      </c>
    </row>
    <row r="734" spans="1:1" x14ac:dyDescent="0.25">
      <c r="A734">
        <v>17663</v>
      </c>
    </row>
    <row r="735" spans="1:1" x14ac:dyDescent="0.25">
      <c r="A735">
        <v>14</v>
      </c>
    </row>
    <row r="736" spans="1:1" x14ac:dyDescent="0.25">
      <c r="A736">
        <v>10588</v>
      </c>
    </row>
    <row r="737" spans="1:1" x14ac:dyDescent="0.25">
      <c r="A737" t="s">
        <v>186</v>
      </c>
    </row>
    <row r="738" spans="1:1" x14ac:dyDescent="0.25">
      <c r="A738" t="s">
        <v>187</v>
      </c>
    </row>
    <row r="739" spans="1:1" x14ac:dyDescent="0.25">
      <c r="A739" s="1">
        <v>0.47849999999999998</v>
      </c>
    </row>
    <row r="740" spans="1:1" x14ac:dyDescent="0.25">
      <c r="A740">
        <v>4541</v>
      </c>
    </row>
    <row r="741" spans="1:1" x14ac:dyDescent="0.25">
      <c r="A741">
        <v>1.75</v>
      </c>
    </row>
    <row r="742" spans="1:1" x14ac:dyDescent="0.25">
      <c r="A742">
        <v>16072</v>
      </c>
    </row>
    <row r="743" spans="1:1" x14ac:dyDescent="0.25">
      <c r="A743">
        <v>21</v>
      </c>
    </row>
    <row r="744" spans="1:1" x14ac:dyDescent="0.25">
      <c r="A744">
        <v>10364</v>
      </c>
    </row>
    <row r="745" spans="1:1" x14ac:dyDescent="0.25">
      <c r="A745" t="s">
        <v>188</v>
      </c>
    </row>
    <row r="746" spans="1:1" x14ac:dyDescent="0.25">
      <c r="A746" t="s">
        <v>189</v>
      </c>
    </row>
    <row r="747" spans="1:1" x14ac:dyDescent="0.25">
      <c r="A747" s="1">
        <v>0.4783</v>
      </c>
    </row>
    <row r="748" spans="1:1" x14ac:dyDescent="0.25">
      <c r="A748">
        <v>3360</v>
      </c>
    </row>
    <row r="749" spans="1:1" x14ac:dyDescent="0.25">
      <c r="A749">
        <v>1.9</v>
      </c>
    </row>
    <row r="750" spans="1:1" x14ac:dyDescent="0.25">
      <c r="A750">
        <v>12836</v>
      </c>
    </row>
    <row r="751" spans="1:1" x14ac:dyDescent="0.25">
      <c r="A751">
        <v>485</v>
      </c>
    </row>
    <row r="752" spans="1:1" x14ac:dyDescent="0.25">
      <c r="A752">
        <v>39891</v>
      </c>
    </row>
    <row r="753" spans="1:1" x14ac:dyDescent="0.25">
      <c r="A753" t="s">
        <v>190</v>
      </c>
    </row>
    <row r="754" spans="1:1" x14ac:dyDescent="0.25">
      <c r="A754" t="s">
        <v>191</v>
      </c>
    </row>
    <row r="755" spans="1:1" x14ac:dyDescent="0.25">
      <c r="A755" s="1">
        <v>0.47789999999999999</v>
      </c>
    </row>
    <row r="756" spans="1:1" x14ac:dyDescent="0.25">
      <c r="A756">
        <v>8468</v>
      </c>
    </row>
    <row r="757" spans="1:1" x14ac:dyDescent="0.25">
      <c r="A757">
        <v>1.91</v>
      </c>
    </row>
    <row r="758" spans="1:1" x14ac:dyDescent="0.25">
      <c r="A758">
        <v>15243</v>
      </c>
    </row>
    <row r="759" spans="1:1" x14ac:dyDescent="0.25">
      <c r="A759">
        <v>23</v>
      </c>
    </row>
    <row r="760" spans="1:1" x14ac:dyDescent="0.25">
      <c r="A760">
        <v>11955</v>
      </c>
    </row>
    <row r="761" spans="1:1" x14ac:dyDescent="0.25">
      <c r="A761" t="s">
        <v>192</v>
      </c>
    </row>
    <row r="762" spans="1:1" x14ac:dyDescent="0.25">
      <c r="A762" t="s">
        <v>193</v>
      </c>
    </row>
    <row r="763" spans="1:1" x14ac:dyDescent="0.25">
      <c r="A763" s="1">
        <v>0.47739999999999999</v>
      </c>
    </row>
    <row r="764" spans="1:1" x14ac:dyDescent="0.25">
      <c r="A764">
        <v>4661</v>
      </c>
    </row>
    <row r="765" spans="1:1" x14ac:dyDescent="0.25">
      <c r="A765">
        <v>1.56</v>
      </c>
    </row>
    <row r="766" spans="1:1" x14ac:dyDescent="0.25">
      <c r="A766">
        <v>15865</v>
      </c>
    </row>
    <row r="767" spans="1:1" x14ac:dyDescent="0.25">
      <c r="A767">
        <v>102</v>
      </c>
    </row>
    <row r="768" spans="1:1" x14ac:dyDescent="0.25">
      <c r="A768">
        <v>6499</v>
      </c>
    </row>
    <row r="769" spans="1:1" x14ac:dyDescent="0.25">
      <c r="A769" t="s">
        <v>194</v>
      </c>
    </row>
    <row r="770" spans="1:1" x14ac:dyDescent="0.25">
      <c r="A770" t="s">
        <v>195</v>
      </c>
    </row>
    <row r="771" spans="1:1" x14ac:dyDescent="0.25">
      <c r="A771" s="1">
        <v>0.47670000000000001</v>
      </c>
    </row>
    <row r="772" spans="1:1" x14ac:dyDescent="0.25">
      <c r="A772">
        <v>6812</v>
      </c>
    </row>
    <row r="773" spans="1:1" x14ac:dyDescent="0.25">
      <c r="A773">
        <v>1.54</v>
      </c>
    </row>
    <row r="774" spans="1:1" x14ac:dyDescent="0.25">
      <c r="A774">
        <v>17516</v>
      </c>
    </row>
    <row r="775" spans="1:1" x14ac:dyDescent="0.25">
      <c r="A775">
        <v>148</v>
      </c>
    </row>
    <row r="776" spans="1:1" x14ac:dyDescent="0.25">
      <c r="A776">
        <v>14226</v>
      </c>
    </row>
    <row r="777" spans="1:1" x14ac:dyDescent="0.25">
      <c r="A777" t="s">
        <v>196</v>
      </c>
    </row>
    <row r="778" spans="1:1" x14ac:dyDescent="0.25">
      <c r="A778" t="s">
        <v>197</v>
      </c>
    </row>
    <row r="779" spans="1:1" x14ac:dyDescent="0.25">
      <c r="A779" s="1">
        <v>0.47649999999999998</v>
      </c>
    </row>
    <row r="780" spans="1:1" x14ac:dyDescent="0.25">
      <c r="A780">
        <v>11133</v>
      </c>
    </row>
    <row r="781" spans="1:1" x14ac:dyDescent="0.25">
      <c r="A781">
        <v>1.82</v>
      </c>
    </row>
    <row r="782" spans="1:1" x14ac:dyDescent="0.25">
      <c r="A782">
        <v>14647</v>
      </c>
    </row>
    <row r="783" spans="1:1" x14ac:dyDescent="0.25">
      <c r="A783">
        <v>85</v>
      </c>
    </row>
    <row r="784" spans="1:1" x14ac:dyDescent="0.25">
      <c r="A784">
        <v>17058</v>
      </c>
    </row>
    <row r="785" spans="1:1" x14ac:dyDescent="0.25">
      <c r="A785" t="s">
        <v>198</v>
      </c>
    </row>
    <row r="786" spans="1:1" x14ac:dyDescent="0.25">
      <c r="A786" t="s">
        <v>199</v>
      </c>
    </row>
    <row r="787" spans="1:1" x14ac:dyDescent="0.25">
      <c r="A787" s="1">
        <v>0.47339999999999999</v>
      </c>
    </row>
    <row r="788" spans="1:1" x14ac:dyDescent="0.25">
      <c r="A788">
        <v>10282</v>
      </c>
    </row>
    <row r="789" spans="1:1" x14ac:dyDescent="0.25">
      <c r="A789">
        <v>1.42</v>
      </c>
    </row>
    <row r="790" spans="1:1" x14ac:dyDescent="0.25">
      <c r="A790">
        <v>16771</v>
      </c>
    </row>
    <row r="791" spans="1:1" x14ac:dyDescent="0.25">
      <c r="A791">
        <v>31</v>
      </c>
    </row>
    <row r="792" spans="1:1" x14ac:dyDescent="0.25">
      <c r="A792">
        <v>7746</v>
      </c>
    </row>
    <row r="793" spans="1:1" x14ac:dyDescent="0.25">
      <c r="A793" t="s">
        <v>200</v>
      </c>
    </row>
    <row r="794" spans="1:1" x14ac:dyDescent="0.25">
      <c r="A794" t="s">
        <v>201</v>
      </c>
    </row>
    <row r="795" spans="1:1" x14ac:dyDescent="0.25">
      <c r="A795" s="1">
        <v>0.47310000000000002</v>
      </c>
    </row>
    <row r="796" spans="1:1" x14ac:dyDescent="0.25">
      <c r="A796">
        <v>10847</v>
      </c>
    </row>
    <row r="797" spans="1:1" x14ac:dyDescent="0.25">
      <c r="A797">
        <v>1.86</v>
      </c>
    </row>
    <row r="798" spans="1:1" x14ac:dyDescent="0.25">
      <c r="A798">
        <v>10519</v>
      </c>
    </row>
    <row r="799" spans="1:1" x14ac:dyDescent="0.25">
      <c r="A799">
        <v>444</v>
      </c>
    </row>
    <row r="800" spans="1:1" x14ac:dyDescent="0.25">
      <c r="A800">
        <v>37773</v>
      </c>
    </row>
    <row r="801" spans="1:1" x14ac:dyDescent="0.25">
      <c r="A801" t="s">
        <v>202</v>
      </c>
    </row>
    <row r="802" spans="1:1" x14ac:dyDescent="0.25">
      <c r="A802" t="s">
        <v>203</v>
      </c>
    </row>
    <row r="803" spans="1:1" x14ac:dyDescent="0.25">
      <c r="A803" s="1">
        <v>0.47260000000000002</v>
      </c>
    </row>
    <row r="804" spans="1:1" x14ac:dyDescent="0.25">
      <c r="A804">
        <v>7260</v>
      </c>
    </row>
    <row r="805" spans="1:1" x14ac:dyDescent="0.25">
      <c r="A805">
        <v>1.6</v>
      </c>
    </row>
    <row r="806" spans="1:1" x14ac:dyDescent="0.25">
      <c r="A806">
        <v>17073</v>
      </c>
    </row>
    <row r="807" spans="1:1" x14ac:dyDescent="0.25">
      <c r="A807">
        <v>26</v>
      </c>
    </row>
    <row r="808" spans="1:1" x14ac:dyDescent="0.25">
      <c r="A808">
        <v>7586</v>
      </c>
    </row>
    <row r="809" spans="1:1" x14ac:dyDescent="0.25">
      <c r="A809" t="s">
        <v>204</v>
      </c>
    </row>
    <row r="810" spans="1:1" x14ac:dyDescent="0.25">
      <c r="A810" t="s">
        <v>205</v>
      </c>
    </row>
    <row r="811" spans="1:1" x14ac:dyDescent="0.25">
      <c r="A811" s="1">
        <v>0.47220000000000001</v>
      </c>
    </row>
    <row r="812" spans="1:1" x14ac:dyDescent="0.25">
      <c r="A812">
        <v>8787</v>
      </c>
    </row>
    <row r="813" spans="1:1" x14ac:dyDescent="0.25">
      <c r="A813">
        <v>1.45</v>
      </c>
    </row>
    <row r="814" spans="1:1" x14ac:dyDescent="0.25">
      <c r="A814">
        <v>17692</v>
      </c>
    </row>
    <row r="815" spans="1:1" x14ac:dyDescent="0.25">
      <c r="A815">
        <v>28</v>
      </c>
    </row>
    <row r="816" spans="1:1" x14ac:dyDescent="0.25">
      <c r="A816">
        <v>8755</v>
      </c>
    </row>
    <row r="817" spans="1:1" x14ac:dyDescent="0.25">
      <c r="A817" t="s">
        <v>206</v>
      </c>
    </row>
    <row r="818" spans="1:1" x14ac:dyDescent="0.25">
      <c r="A818" t="s">
        <v>207</v>
      </c>
    </row>
    <row r="819" spans="1:1" x14ac:dyDescent="0.25">
      <c r="A819" s="1">
        <v>0.4718</v>
      </c>
    </row>
    <row r="820" spans="1:1" x14ac:dyDescent="0.25">
      <c r="A820">
        <v>7736</v>
      </c>
    </row>
    <row r="821" spans="1:1" x14ac:dyDescent="0.25">
      <c r="A821">
        <v>1.71</v>
      </c>
    </row>
    <row r="822" spans="1:1" x14ac:dyDescent="0.25">
      <c r="A822">
        <v>12045</v>
      </c>
    </row>
    <row r="823" spans="1:1" x14ac:dyDescent="0.25">
      <c r="A823">
        <v>384</v>
      </c>
    </row>
    <row r="824" spans="1:1" x14ac:dyDescent="0.25">
      <c r="A824">
        <v>33038</v>
      </c>
    </row>
    <row r="825" spans="1:1" x14ac:dyDescent="0.25">
      <c r="A825" t="s">
        <v>208</v>
      </c>
    </row>
    <row r="826" spans="1:1" x14ac:dyDescent="0.25">
      <c r="A826" t="s">
        <v>209</v>
      </c>
    </row>
    <row r="827" spans="1:1" x14ac:dyDescent="0.25">
      <c r="A827" s="1">
        <v>0.47160000000000002</v>
      </c>
    </row>
    <row r="828" spans="1:1" x14ac:dyDescent="0.25">
      <c r="A828">
        <v>4088</v>
      </c>
    </row>
    <row r="829" spans="1:1" x14ac:dyDescent="0.25">
      <c r="A829">
        <v>1.86</v>
      </c>
    </row>
    <row r="830" spans="1:1" x14ac:dyDescent="0.25">
      <c r="A830">
        <v>15760</v>
      </c>
    </row>
    <row r="831" spans="1:1" x14ac:dyDescent="0.25">
      <c r="A831">
        <v>22</v>
      </c>
    </row>
    <row r="832" spans="1:1" x14ac:dyDescent="0.25">
      <c r="A832">
        <v>17771</v>
      </c>
    </row>
    <row r="833" spans="1:1" x14ac:dyDescent="0.25">
      <c r="A833" t="s">
        <v>210</v>
      </c>
    </row>
    <row r="834" spans="1:1" x14ac:dyDescent="0.25">
      <c r="A834" t="s">
        <v>211</v>
      </c>
    </row>
    <row r="835" spans="1:1" x14ac:dyDescent="0.25">
      <c r="A835" s="1">
        <v>0.47149999999999997</v>
      </c>
    </row>
    <row r="836" spans="1:1" x14ac:dyDescent="0.25">
      <c r="A836">
        <v>6588</v>
      </c>
    </row>
    <row r="837" spans="1:1" x14ac:dyDescent="0.25">
      <c r="A837">
        <v>1.61</v>
      </c>
    </row>
    <row r="838" spans="1:1" x14ac:dyDescent="0.25">
      <c r="A838">
        <v>17326</v>
      </c>
    </row>
    <row r="839" spans="1:1" x14ac:dyDescent="0.25">
      <c r="A839">
        <v>68</v>
      </c>
    </row>
    <row r="840" spans="1:1" x14ac:dyDescent="0.25">
      <c r="A840">
        <v>28990</v>
      </c>
    </row>
    <row r="841" spans="1:1" x14ac:dyDescent="0.25">
      <c r="A841" t="s">
        <v>212</v>
      </c>
    </row>
    <row r="842" spans="1:1" x14ac:dyDescent="0.25">
      <c r="A842" t="s">
        <v>213</v>
      </c>
    </row>
    <row r="843" spans="1:1" x14ac:dyDescent="0.25">
      <c r="A843" s="1">
        <v>0.47139999999999999</v>
      </c>
    </row>
    <row r="844" spans="1:1" x14ac:dyDescent="0.25">
      <c r="A844">
        <v>5934</v>
      </c>
    </row>
    <row r="845" spans="1:1" x14ac:dyDescent="0.25">
      <c r="A845">
        <v>1.89</v>
      </c>
    </row>
    <row r="846" spans="1:1" x14ac:dyDescent="0.25">
      <c r="A846">
        <v>8160</v>
      </c>
    </row>
    <row r="847" spans="1:1" x14ac:dyDescent="0.25">
      <c r="A847">
        <v>4603</v>
      </c>
    </row>
    <row r="848" spans="1:1" x14ac:dyDescent="0.25">
      <c r="A848">
        <v>26152</v>
      </c>
    </row>
    <row r="849" spans="1:1" x14ac:dyDescent="0.25">
      <c r="A849" t="s">
        <v>214</v>
      </c>
    </row>
    <row r="850" spans="1:1" x14ac:dyDescent="0.25">
      <c r="A850" t="s">
        <v>215</v>
      </c>
    </row>
    <row r="851" spans="1:1" x14ac:dyDescent="0.25">
      <c r="A851" s="1">
        <v>0.47110000000000002</v>
      </c>
    </row>
    <row r="852" spans="1:1" x14ac:dyDescent="0.25">
      <c r="A852">
        <v>6476</v>
      </c>
    </row>
    <row r="853" spans="1:1" x14ac:dyDescent="0.25">
      <c r="A853">
        <v>1.76</v>
      </c>
    </row>
    <row r="854" spans="1:1" x14ac:dyDescent="0.25">
      <c r="A854">
        <v>15123</v>
      </c>
    </row>
    <row r="855" spans="1:1" x14ac:dyDescent="0.25">
      <c r="A855">
        <v>57</v>
      </c>
    </row>
    <row r="856" spans="1:1" x14ac:dyDescent="0.25">
      <c r="A856">
        <v>13404</v>
      </c>
    </row>
    <row r="857" spans="1:1" x14ac:dyDescent="0.25">
      <c r="A857" t="s">
        <v>216</v>
      </c>
    </row>
    <row r="858" spans="1:1" x14ac:dyDescent="0.25">
      <c r="A858" t="s">
        <v>217</v>
      </c>
    </row>
    <row r="859" spans="1:1" x14ac:dyDescent="0.25">
      <c r="A859" s="1">
        <v>0.47060000000000002</v>
      </c>
    </row>
    <row r="860" spans="1:1" x14ac:dyDescent="0.25">
      <c r="A860">
        <v>15960</v>
      </c>
    </row>
    <row r="861" spans="1:1" x14ac:dyDescent="0.25">
      <c r="A861">
        <v>1.67</v>
      </c>
    </row>
    <row r="862" spans="1:1" x14ac:dyDescent="0.25">
      <c r="A862">
        <v>15963</v>
      </c>
    </row>
    <row r="863" spans="1:1" x14ac:dyDescent="0.25">
      <c r="A863">
        <v>14</v>
      </c>
    </row>
    <row r="864" spans="1:1" x14ac:dyDescent="0.25">
      <c r="A864">
        <v>8255</v>
      </c>
    </row>
    <row r="865" spans="1:1" x14ac:dyDescent="0.25">
      <c r="A865" t="s">
        <v>218</v>
      </c>
    </row>
    <row r="866" spans="1:1" x14ac:dyDescent="0.25">
      <c r="A866" t="s">
        <v>219</v>
      </c>
    </row>
    <row r="867" spans="1:1" x14ac:dyDescent="0.25">
      <c r="A867" s="1">
        <v>0.46939999999999998</v>
      </c>
    </row>
    <row r="868" spans="1:1" x14ac:dyDescent="0.25">
      <c r="A868">
        <v>4959</v>
      </c>
    </row>
    <row r="869" spans="1:1" x14ac:dyDescent="0.25">
      <c r="A869">
        <v>1.68</v>
      </c>
    </row>
    <row r="870" spans="1:1" x14ac:dyDescent="0.25">
      <c r="A870">
        <v>15706</v>
      </c>
    </row>
    <row r="871" spans="1:1" x14ac:dyDescent="0.25">
      <c r="A871">
        <v>23</v>
      </c>
    </row>
    <row r="872" spans="1:1" x14ac:dyDescent="0.25">
      <c r="A872">
        <v>16642</v>
      </c>
    </row>
    <row r="873" spans="1:1" x14ac:dyDescent="0.25">
      <c r="A873" t="s">
        <v>220</v>
      </c>
    </row>
    <row r="874" spans="1:1" x14ac:dyDescent="0.25">
      <c r="A874" t="s">
        <v>221</v>
      </c>
    </row>
    <row r="875" spans="1:1" x14ac:dyDescent="0.25">
      <c r="A875" s="1">
        <v>0.46760000000000002</v>
      </c>
    </row>
    <row r="876" spans="1:1" x14ac:dyDescent="0.25">
      <c r="A876">
        <v>9303</v>
      </c>
    </row>
    <row r="877" spans="1:1" x14ac:dyDescent="0.25">
      <c r="A877">
        <v>1.85</v>
      </c>
    </row>
    <row r="878" spans="1:1" x14ac:dyDescent="0.25">
      <c r="A878">
        <v>15377</v>
      </c>
    </row>
    <row r="879" spans="1:1" x14ac:dyDescent="0.25">
      <c r="A879">
        <v>84</v>
      </c>
    </row>
    <row r="880" spans="1:1" x14ac:dyDescent="0.25">
      <c r="A880">
        <v>30734</v>
      </c>
    </row>
    <row r="881" spans="1:1" x14ac:dyDescent="0.25">
      <c r="A881" t="s">
        <v>222</v>
      </c>
    </row>
    <row r="882" spans="1:1" x14ac:dyDescent="0.25">
      <c r="A882" t="s">
        <v>223</v>
      </c>
    </row>
    <row r="883" spans="1:1" x14ac:dyDescent="0.25">
      <c r="A883" s="1">
        <v>0.46310000000000001</v>
      </c>
    </row>
    <row r="884" spans="1:1" x14ac:dyDescent="0.25">
      <c r="A884">
        <v>9400</v>
      </c>
    </row>
    <row r="885" spans="1:1" x14ac:dyDescent="0.25">
      <c r="A885">
        <v>1.79</v>
      </c>
    </row>
    <row r="886" spans="1:1" x14ac:dyDescent="0.25">
      <c r="A886">
        <v>14863</v>
      </c>
    </row>
    <row r="887" spans="1:1" x14ac:dyDescent="0.25">
      <c r="A887">
        <v>58</v>
      </c>
    </row>
    <row r="888" spans="1:1" x14ac:dyDescent="0.25">
      <c r="A888">
        <v>30278</v>
      </c>
    </row>
    <row r="889" spans="1:1" x14ac:dyDescent="0.25">
      <c r="A889" t="s">
        <v>224</v>
      </c>
    </row>
    <row r="890" spans="1:1" x14ac:dyDescent="0.25">
      <c r="A890" t="s">
        <v>225</v>
      </c>
    </row>
    <row r="891" spans="1:1" x14ac:dyDescent="0.25">
      <c r="A891" s="1">
        <v>0.46200000000000002</v>
      </c>
    </row>
    <row r="892" spans="1:1" x14ac:dyDescent="0.25">
      <c r="A892">
        <v>5941</v>
      </c>
    </row>
    <row r="893" spans="1:1" x14ac:dyDescent="0.25">
      <c r="A893">
        <v>1.56</v>
      </c>
    </row>
    <row r="894" spans="1:1" x14ac:dyDescent="0.25">
      <c r="A894">
        <v>15041</v>
      </c>
    </row>
    <row r="895" spans="1:1" x14ac:dyDescent="0.25">
      <c r="A895">
        <v>71</v>
      </c>
    </row>
    <row r="896" spans="1:1" x14ac:dyDescent="0.25">
      <c r="A896">
        <v>13681</v>
      </c>
    </row>
    <row r="897" spans="1:1" x14ac:dyDescent="0.25">
      <c r="A897" t="s">
        <v>226</v>
      </c>
    </row>
    <row r="898" spans="1:1" x14ac:dyDescent="0.25">
      <c r="A898" t="s">
        <v>227</v>
      </c>
    </row>
    <row r="899" spans="1:1" x14ac:dyDescent="0.25">
      <c r="A899" s="1">
        <v>0.46179999999999999</v>
      </c>
    </row>
    <row r="900" spans="1:1" x14ac:dyDescent="0.25">
      <c r="A900">
        <v>7244</v>
      </c>
    </row>
    <row r="901" spans="1:1" x14ac:dyDescent="0.25">
      <c r="A901">
        <v>1.48</v>
      </c>
    </row>
    <row r="902" spans="1:1" x14ac:dyDescent="0.25">
      <c r="A902">
        <v>15507</v>
      </c>
    </row>
    <row r="903" spans="1:1" x14ac:dyDescent="0.25">
      <c r="A903">
        <v>32</v>
      </c>
    </row>
    <row r="904" spans="1:1" x14ac:dyDescent="0.25">
      <c r="A904">
        <v>8100</v>
      </c>
    </row>
    <row r="905" spans="1:1" x14ac:dyDescent="0.25">
      <c r="A905" t="s">
        <v>228</v>
      </c>
    </row>
    <row r="906" spans="1:1" x14ac:dyDescent="0.25">
      <c r="A906" t="s">
        <v>229</v>
      </c>
    </row>
    <row r="907" spans="1:1" x14ac:dyDescent="0.25">
      <c r="A907" s="1">
        <v>0.45750000000000002</v>
      </c>
    </row>
    <row r="908" spans="1:1" x14ac:dyDescent="0.25">
      <c r="A908">
        <v>10996</v>
      </c>
    </row>
    <row r="909" spans="1:1" x14ac:dyDescent="0.25">
      <c r="A909">
        <v>1.49</v>
      </c>
    </row>
    <row r="910" spans="1:1" x14ac:dyDescent="0.25">
      <c r="A910">
        <v>16175</v>
      </c>
    </row>
    <row r="911" spans="1:1" x14ac:dyDescent="0.25">
      <c r="A911">
        <v>43</v>
      </c>
    </row>
    <row r="912" spans="1:1" x14ac:dyDescent="0.25">
      <c r="A912">
        <v>30185</v>
      </c>
    </row>
    <row r="913" spans="1:1" x14ac:dyDescent="0.25">
      <c r="A913" t="s">
        <v>230</v>
      </c>
    </row>
    <row r="914" spans="1:1" x14ac:dyDescent="0.25">
      <c r="A914" t="s">
        <v>231</v>
      </c>
    </row>
    <row r="915" spans="1:1" x14ac:dyDescent="0.25">
      <c r="A915" s="1">
        <v>0.45700000000000002</v>
      </c>
    </row>
    <row r="916" spans="1:1" x14ac:dyDescent="0.25">
      <c r="A916">
        <v>8322</v>
      </c>
    </row>
    <row r="917" spans="1:1" x14ac:dyDescent="0.25">
      <c r="A917">
        <v>1.51</v>
      </c>
    </row>
    <row r="918" spans="1:1" x14ac:dyDescent="0.25">
      <c r="A918">
        <v>16298</v>
      </c>
    </row>
    <row r="919" spans="1:1" x14ac:dyDescent="0.25">
      <c r="A919">
        <v>124</v>
      </c>
    </row>
    <row r="920" spans="1:1" x14ac:dyDescent="0.25">
      <c r="A920">
        <v>6046</v>
      </c>
    </row>
    <row r="921" spans="1:1" x14ac:dyDescent="0.25">
      <c r="A921" t="s">
        <v>232</v>
      </c>
    </row>
    <row r="922" spans="1:1" x14ac:dyDescent="0.25">
      <c r="A922" t="s">
        <v>233</v>
      </c>
    </row>
    <row r="923" spans="1:1" x14ac:dyDescent="0.25">
      <c r="A923" s="1">
        <v>0.45679999999999998</v>
      </c>
    </row>
    <row r="924" spans="1:1" x14ac:dyDescent="0.25">
      <c r="A924">
        <v>7566</v>
      </c>
    </row>
    <row r="925" spans="1:1" x14ac:dyDescent="0.25">
      <c r="A925">
        <v>1.78</v>
      </c>
    </row>
    <row r="926" spans="1:1" x14ac:dyDescent="0.25">
      <c r="A926">
        <v>14672</v>
      </c>
    </row>
    <row r="927" spans="1:1" x14ac:dyDescent="0.25">
      <c r="A927">
        <v>29</v>
      </c>
    </row>
    <row r="928" spans="1:1" x14ac:dyDescent="0.25">
      <c r="A928">
        <v>11619</v>
      </c>
    </row>
    <row r="929" spans="1:1" x14ac:dyDescent="0.25">
      <c r="A929" t="s">
        <v>234</v>
      </c>
    </row>
    <row r="930" spans="1:1" x14ac:dyDescent="0.25">
      <c r="A930" t="s">
        <v>235</v>
      </c>
    </row>
    <row r="931" spans="1:1" x14ac:dyDescent="0.25">
      <c r="A931" s="1">
        <v>0.45400000000000001</v>
      </c>
    </row>
    <row r="932" spans="1:1" x14ac:dyDescent="0.25">
      <c r="A932">
        <v>4015</v>
      </c>
    </row>
    <row r="933" spans="1:1" x14ac:dyDescent="0.25">
      <c r="A933">
        <v>1.27</v>
      </c>
    </row>
    <row r="934" spans="1:1" x14ac:dyDescent="0.25">
      <c r="A934">
        <v>13802</v>
      </c>
    </row>
    <row r="935" spans="1:1" x14ac:dyDescent="0.25">
      <c r="A935">
        <v>5199</v>
      </c>
    </row>
    <row r="936" spans="1:1" x14ac:dyDescent="0.25">
      <c r="A936">
        <v>11514</v>
      </c>
    </row>
    <row r="937" spans="1:1" x14ac:dyDescent="0.25">
      <c r="A937" t="s">
        <v>236</v>
      </c>
    </row>
    <row r="938" spans="1:1" x14ac:dyDescent="0.25">
      <c r="A938" t="s">
        <v>237</v>
      </c>
    </row>
    <row r="939" spans="1:1" x14ac:dyDescent="0.25">
      <c r="A939" s="1">
        <v>0.4506</v>
      </c>
    </row>
    <row r="940" spans="1:1" x14ac:dyDescent="0.25">
      <c r="A940">
        <v>78602</v>
      </c>
    </row>
    <row r="941" spans="1:1" x14ac:dyDescent="0.25">
      <c r="A941">
        <v>1.4</v>
      </c>
    </row>
    <row r="942" spans="1:1" x14ac:dyDescent="0.25">
      <c r="A942">
        <v>16226</v>
      </c>
    </row>
    <row r="943" spans="1:1" x14ac:dyDescent="0.25">
      <c r="A943">
        <v>99</v>
      </c>
    </row>
    <row r="944" spans="1:1" x14ac:dyDescent="0.25">
      <c r="A944">
        <v>7452</v>
      </c>
    </row>
    <row r="945" spans="1:1" x14ac:dyDescent="0.25">
      <c r="A945" t="s">
        <v>238</v>
      </c>
    </row>
    <row r="946" spans="1:1" x14ac:dyDescent="0.25">
      <c r="A946" t="s">
        <v>239</v>
      </c>
    </row>
    <row r="947" spans="1:1" x14ac:dyDescent="0.25">
      <c r="A947" s="1">
        <v>0.439</v>
      </c>
    </row>
    <row r="948" spans="1:1" x14ac:dyDescent="0.25">
      <c r="A948">
        <v>6915</v>
      </c>
    </row>
    <row r="949" spans="1:1" x14ac:dyDescent="0.25">
      <c r="A949">
        <v>1.86</v>
      </c>
    </row>
    <row r="950" spans="1:1" x14ac:dyDescent="0.25">
      <c r="A950">
        <v>13795</v>
      </c>
    </row>
    <row r="951" spans="1:1" x14ac:dyDescent="0.25">
      <c r="A951">
        <v>192</v>
      </c>
    </row>
    <row r="952" spans="1:1" x14ac:dyDescent="0.25">
      <c r="A952">
        <v>32687</v>
      </c>
    </row>
    <row r="953" spans="1:1" x14ac:dyDescent="0.25">
      <c r="A953" t="s">
        <v>240</v>
      </c>
    </row>
    <row r="954" spans="1:1" x14ac:dyDescent="0.25">
      <c r="A954" t="s">
        <v>241</v>
      </c>
    </row>
    <row r="955" spans="1:1" x14ac:dyDescent="0.25">
      <c r="A955" s="1">
        <v>0.43830000000000002</v>
      </c>
    </row>
    <row r="956" spans="1:1" x14ac:dyDescent="0.25">
      <c r="A956">
        <v>5435</v>
      </c>
    </row>
    <row r="957" spans="1:1" x14ac:dyDescent="0.25">
      <c r="A957">
        <v>1.36</v>
      </c>
    </row>
    <row r="958" spans="1:1" x14ac:dyDescent="0.25">
      <c r="A958">
        <v>15616</v>
      </c>
    </row>
    <row r="959" spans="1:1" x14ac:dyDescent="0.25">
      <c r="A959">
        <v>53</v>
      </c>
    </row>
    <row r="960" spans="1:1" x14ac:dyDescent="0.25">
      <c r="A960">
        <v>5570</v>
      </c>
    </row>
    <row r="961" spans="1:1" x14ac:dyDescent="0.25">
      <c r="A961" t="s">
        <v>242</v>
      </c>
    </row>
    <row r="962" spans="1:1" x14ac:dyDescent="0.25">
      <c r="A962" t="s">
        <v>243</v>
      </c>
    </row>
    <row r="963" spans="1:1" x14ac:dyDescent="0.25">
      <c r="A963" s="1">
        <v>0.40920000000000001</v>
      </c>
    </row>
    <row r="964" spans="1:1" x14ac:dyDescent="0.25">
      <c r="A964">
        <v>3551</v>
      </c>
    </row>
    <row r="965" spans="1:1" x14ac:dyDescent="0.25">
      <c r="A965">
        <v>1.55</v>
      </c>
    </row>
    <row r="966" spans="1:1" x14ac:dyDescent="0.25">
      <c r="A966">
        <v>12492</v>
      </c>
    </row>
    <row r="967" spans="1:1" x14ac:dyDescent="0.25">
      <c r="A967">
        <v>73</v>
      </c>
    </row>
    <row r="968" spans="1:1" x14ac:dyDescent="0.25">
      <c r="A968">
        <v>13077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565C0-9095-4277-87D9-16ADEC6CFFFB}">
  <sheetPr codeName="Sheet2"/>
  <dimension ref="A1:DQ8"/>
  <sheetViews>
    <sheetView zoomScale="170" zoomScaleNormal="170" workbookViewId="0">
      <selection activeCell="E14" sqref="E14"/>
    </sheetView>
  </sheetViews>
  <sheetFormatPr defaultRowHeight="15" x14ac:dyDescent="0.25"/>
  <cols>
    <col min="1" max="1" width="10.7109375" style="4" bestFit="1" customWidth="1"/>
    <col min="2" max="2" width="9.5703125" style="4" bestFit="1" customWidth="1"/>
    <col min="3" max="3" width="7.5703125" style="4" bestFit="1" customWidth="1"/>
    <col min="4" max="4" width="11.85546875" style="4" bestFit="1" customWidth="1"/>
    <col min="5" max="5" width="7.5703125" style="4" bestFit="1" customWidth="1"/>
    <col min="6" max="6" width="9" style="4" bestFit="1" customWidth="1"/>
    <col min="7" max="7" width="10.5703125" style="4" bestFit="1" customWidth="1"/>
    <col min="8" max="8" width="7.5703125" style="4" bestFit="1" customWidth="1"/>
    <col min="9" max="9" width="8.7109375" style="4" bestFit="1" customWidth="1"/>
    <col min="10" max="10" width="10.28515625" style="4" bestFit="1" customWidth="1"/>
    <col min="11" max="11" width="7.5703125" style="4" bestFit="1" customWidth="1"/>
    <col min="12" max="12" width="9.28515625" style="4" bestFit="1" customWidth="1"/>
    <col min="13" max="13" width="10.7109375" style="4" bestFit="1" customWidth="1"/>
    <col min="14" max="14" width="14.85546875" style="4" bestFit="1" customWidth="1"/>
    <col min="15" max="15" width="7.5703125" style="4" bestFit="1" customWidth="1"/>
    <col min="16" max="16" width="6.42578125" style="4" bestFit="1" customWidth="1"/>
    <col min="17" max="17" width="10.28515625" style="4" bestFit="1" customWidth="1"/>
    <col min="18" max="18" width="12" style="4" bestFit="1" customWidth="1"/>
    <col min="19" max="19" width="9.5703125" style="4" bestFit="1" customWidth="1"/>
    <col min="20" max="20" width="7.5703125" style="4" bestFit="1" customWidth="1"/>
    <col min="21" max="21" width="12.28515625" style="4" bestFit="1" customWidth="1"/>
    <col min="22" max="22" width="8" style="4" bestFit="1" customWidth="1"/>
    <col min="23" max="23" width="7.5703125" style="4" bestFit="1" customWidth="1"/>
    <col min="24" max="24" width="12.28515625" style="4" bestFit="1" customWidth="1"/>
    <col min="25" max="25" width="7.5703125" style="4" bestFit="1" customWidth="1"/>
    <col min="26" max="26" width="10.140625" style="4" bestFit="1" customWidth="1"/>
    <col min="27" max="27" width="7.5703125" style="4" bestFit="1" customWidth="1"/>
    <col min="28" max="28" width="7.7109375" style="4" bestFit="1" customWidth="1"/>
    <col min="29" max="29" width="8.85546875" style="4" bestFit="1" customWidth="1"/>
    <col min="30" max="30" width="7.5703125" style="4" bestFit="1" customWidth="1"/>
    <col min="31" max="31" width="8.85546875" style="4" bestFit="1" customWidth="1"/>
    <col min="32" max="32" width="10.5703125" style="4" bestFit="1" customWidth="1"/>
    <col min="33" max="33" width="11.140625" style="4" bestFit="1" customWidth="1"/>
    <col min="34" max="34" width="7.5703125" style="4" bestFit="1" customWidth="1"/>
    <col min="35" max="35" width="8.85546875" style="4" bestFit="1" customWidth="1"/>
    <col min="36" max="36" width="9.85546875" style="4" bestFit="1" customWidth="1"/>
    <col min="37" max="37" width="6.42578125" style="4" bestFit="1" customWidth="1"/>
    <col min="38" max="39" width="7.5703125" style="4" bestFit="1" customWidth="1"/>
    <col min="40" max="40" width="8.28515625" style="4" bestFit="1" customWidth="1"/>
    <col min="41" max="41" width="13.28515625" style="4" bestFit="1" customWidth="1"/>
    <col min="42" max="42" width="8.85546875" style="4" bestFit="1" customWidth="1"/>
    <col min="43" max="43" width="7.5703125" style="4" bestFit="1" customWidth="1"/>
    <col min="44" max="44" width="9" style="4" bestFit="1" customWidth="1"/>
    <col min="45" max="46" width="7.5703125" style="4" bestFit="1" customWidth="1"/>
    <col min="47" max="47" width="15.28515625" style="4" bestFit="1" customWidth="1"/>
    <col min="48" max="48" width="14.5703125" style="4" bestFit="1" customWidth="1"/>
    <col min="49" max="49" width="8" style="4" bestFit="1" customWidth="1"/>
    <col min="50" max="50" width="8.5703125" style="4" bestFit="1" customWidth="1"/>
    <col min="51" max="51" width="15.42578125" style="4" bestFit="1" customWidth="1"/>
    <col min="52" max="52" width="7.5703125" style="4" bestFit="1" customWidth="1"/>
    <col min="53" max="53" width="13.7109375" style="4" bestFit="1" customWidth="1"/>
    <col min="54" max="54" width="9.28515625" style="4" bestFit="1" customWidth="1"/>
    <col min="55" max="55" width="7.5703125" style="4" bestFit="1" customWidth="1"/>
    <col min="56" max="56" width="13.7109375" style="4" bestFit="1" customWidth="1"/>
    <col min="57" max="57" width="11.42578125" style="4" bestFit="1" customWidth="1"/>
    <col min="58" max="58" width="7.5703125" style="4" bestFit="1" customWidth="1"/>
    <col min="59" max="59" width="6.42578125" style="4" bestFit="1" customWidth="1"/>
    <col min="60" max="61" width="7.5703125" style="4" bestFit="1" customWidth="1"/>
    <col min="62" max="62" width="12.5703125" style="4" bestFit="1" customWidth="1"/>
    <col min="63" max="64" width="7.5703125" style="4" bestFit="1" customWidth="1"/>
    <col min="65" max="65" width="8.5703125" style="4" bestFit="1" customWidth="1"/>
    <col min="66" max="66" width="9.5703125" style="4" bestFit="1" customWidth="1"/>
    <col min="67" max="67" width="7.5703125" style="4" bestFit="1" customWidth="1"/>
    <col min="68" max="68" width="10.140625" style="4" bestFit="1" customWidth="1"/>
    <col min="69" max="70" width="10.85546875" style="4" bestFit="1" customWidth="1"/>
    <col min="71" max="71" width="9.42578125" style="4" bestFit="1" customWidth="1"/>
    <col min="72" max="72" width="7.7109375" style="4" bestFit="1" customWidth="1"/>
    <col min="73" max="73" width="7.5703125" style="4" bestFit="1" customWidth="1"/>
    <col min="74" max="74" width="11.140625" style="4" bestFit="1" customWidth="1"/>
    <col min="75" max="75" width="15.28515625" style="4" bestFit="1" customWidth="1"/>
    <col min="76" max="78" width="7.5703125" style="4" bestFit="1" customWidth="1"/>
    <col min="79" max="79" width="8.28515625" style="4" bestFit="1" customWidth="1"/>
    <col min="80" max="80" width="8.7109375" style="4" bestFit="1" customWidth="1"/>
    <col min="81" max="81" width="7.5703125" style="4" bestFit="1" customWidth="1"/>
    <col min="82" max="82" width="11.28515625" style="4" bestFit="1" customWidth="1"/>
    <col min="83" max="83" width="10.5703125" style="4" bestFit="1" customWidth="1"/>
    <col min="84" max="86" width="7.5703125" style="4" bestFit="1" customWidth="1"/>
    <col min="87" max="87" width="10.7109375" style="4" bestFit="1" customWidth="1"/>
    <col min="88" max="91" width="7.5703125" style="4" bestFit="1" customWidth="1"/>
    <col min="92" max="92" width="8.42578125" style="4" bestFit="1" customWidth="1"/>
    <col min="93" max="93" width="9.85546875" style="4" bestFit="1" customWidth="1"/>
    <col min="94" max="94" width="9.42578125" style="4" bestFit="1" customWidth="1"/>
    <col min="95" max="95" width="8.7109375" style="4" bestFit="1" customWidth="1"/>
    <col min="96" max="96" width="14.85546875" style="4" bestFit="1" customWidth="1"/>
    <col min="97" max="97" width="7.85546875" style="4" bestFit="1" customWidth="1"/>
    <col min="98" max="98" width="7.5703125" style="4" bestFit="1" customWidth="1"/>
    <col min="99" max="99" width="10.85546875" style="4" bestFit="1" customWidth="1"/>
    <col min="100" max="100" width="7.5703125" style="4" bestFit="1" customWidth="1"/>
    <col min="101" max="102" width="11" style="4" bestFit="1" customWidth="1"/>
    <col min="103" max="103" width="9.85546875" style="4" bestFit="1" customWidth="1"/>
    <col min="104" max="104" width="10.85546875" style="4" bestFit="1" customWidth="1"/>
    <col min="105" max="105" width="13.28515625" style="4" bestFit="1" customWidth="1"/>
    <col min="106" max="106" width="8.140625" style="4" bestFit="1" customWidth="1"/>
    <col min="107" max="107" width="11.42578125" style="4" bestFit="1" customWidth="1"/>
    <col min="108" max="109" width="7.5703125" style="4" bestFit="1" customWidth="1"/>
    <col min="110" max="110" width="9" style="4" bestFit="1" customWidth="1"/>
    <col min="111" max="111" width="7.5703125" style="4" bestFit="1" customWidth="1"/>
    <col min="112" max="112" width="7.42578125" style="4" bestFit="1" customWidth="1"/>
    <col min="113" max="113" width="7.5703125" style="4" bestFit="1" customWidth="1"/>
    <col min="114" max="114" width="13.140625" style="4" bestFit="1" customWidth="1"/>
    <col min="115" max="115" width="6.7109375" style="4" bestFit="1" customWidth="1"/>
    <col min="116" max="116" width="7.5703125" style="4" bestFit="1" customWidth="1"/>
    <col min="117" max="117" width="6.42578125" style="4" bestFit="1" customWidth="1"/>
    <col min="118" max="118" width="10.42578125" style="4" bestFit="1" customWidth="1"/>
    <col min="119" max="119" width="9.85546875" style="4" bestFit="1" customWidth="1"/>
    <col min="120" max="121" width="7.5703125" style="4" bestFit="1" customWidth="1"/>
    <col min="122" max="16384" width="9.140625" style="4"/>
  </cols>
  <sheetData>
    <row r="1" spans="1:121" x14ac:dyDescent="0.25">
      <c r="A1" s="4" t="s">
        <v>244</v>
      </c>
      <c r="B1" s="4" t="s">
        <v>7</v>
      </c>
      <c r="C1" s="4" t="s">
        <v>9</v>
      </c>
      <c r="D1" s="4" t="s">
        <v>11</v>
      </c>
      <c r="E1" s="4" t="s">
        <v>13</v>
      </c>
      <c r="F1" s="4" t="s">
        <v>15</v>
      </c>
      <c r="G1" s="4" t="s">
        <v>17</v>
      </c>
      <c r="H1" s="4" t="s">
        <v>19</v>
      </c>
      <c r="I1" s="4" t="s">
        <v>21</v>
      </c>
      <c r="J1" s="4" t="s">
        <v>23</v>
      </c>
      <c r="K1" s="4" t="s">
        <v>25</v>
      </c>
      <c r="L1" s="4" t="s">
        <v>27</v>
      </c>
      <c r="M1" s="4" t="s">
        <v>29</v>
      </c>
      <c r="N1" s="4" t="s">
        <v>31</v>
      </c>
      <c r="O1" s="4" t="s">
        <v>33</v>
      </c>
      <c r="P1" s="4" t="s">
        <v>35</v>
      </c>
      <c r="Q1" s="4" t="s">
        <v>37</v>
      </c>
      <c r="R1" s="4" t="s">
        <v>39</v>
      </c>
      <c r="S1" s="4" t="s">
        <v>41</v>
      </c>
      <c r="T1" s="4" t="s">
        <v>43</v>
      </c>
      <c r="U1" s="4" t="s">
        <v>45</v>
      </c>
      <c r="V1" s="4" t="s">
        <v>47</v>
      </c>
      <c r="W1" s="4" t="s">
        <v>49</v>
      </c>
      <c r="X1" s="4" t="s">
        <v>51</v>
      </c>
      <c r="Y1" s="4" t="s">
        <v>53</v>
      </c>
      <c r="Z1" s="4" t="s">
        <v>55</v>
      </c>
      <c r="AA1" s="4" t="s">
        <v>57</v>
      </c>
      <c r="AB1" s="4" t="s">
        <v>59</v>
      </c>
      <c r="AC1" s="4" t="s">
        <v>61</v>
      </c>
      <c r="AD1" s="4" t="s">
        <v>63</v>
      </c>
      <c r="AE1" s="4" t="s">
        <v>65</v>
      </c>
      <c r="AF1" s="4" t="s">
        <v>67</v>
      </c>
      <c r="AG1" s="4" t="s">
        <v>69</v>
      </c>
      <c r="AH1" s="4" t="s">
        <v>71</v>
      </c>
      <c r="AI1" s="4" t="s">
        <v>73</v>
      </c>
      <c r="AJ1" s="4" t="s">
        <v>75</v>
      </c>
      <c r="AK1" s="4" t="s">
        <v>77</v>
      </c>
      <c r="AL1" s="4" t="s">
        <v>79</v>
      </c>
      <c r="AM1" s="4" t="s">
        <v>81</v>
      </c>
      <c r="AN1" s="4" t="s">
        <v>83</v>
      </c>
      <c r="AO1" s="4" t="s">
        <v>85</v>
      </c>
      <c r="AP1" s="4" t="s">
        <v>87</v>
      </c>
      <c r="AQ1" s="4" t="s">
        <v>89</v>
      </c>
      <c r="AR1" s="4" t="s">
        <v>91</v>
      </c>
      <c r="AS1" s="4" t="s">
        <v>93</v>
      </c>
      <c r="AT1" s="4" t="s">
        <v>95</v>
      </c>
      <c r="AU1" s="4" t="s">
        <v>97</v>
      </c>
      <c r="AV1" s="4" t="s">
        <v>99</v>
      </c>
      <c r="AW1" s="4" t="s">
        <v>101</v>
      </c>
      <c r="AX1" s="4" t="s">
        <v>103</v>
      </c>
      <c r="AY1" s="4" t="s">
        <v>105</v>
      </c>
      <c r="AZ1" s="4" t="s">
        <v>245</v>
      </c>
      <c r="BA1" s="4" t="s">
        <v>108</v>
      </c>
      <c r="BB1" s="4" t="s">
        <v>110</v>
      </c>
      <c r="BC1" s="4" t="s">
        <v>112</v>
      </c>
      <c r="BD1" s="4" t="s">
        <v>114</v>
      </c>
      <c r="BE1" s="4" t="s">
        <v>116</v>
      </c>
      <c r="BF1" s="4" t="s">
        <v>118</v>
      </c>
      <c r="BG1" s="4" t="s">
        <v>120</v>
      </c>
      <c r="BH1" s="4" t="s">
        <v>122</v>
      </c>
      <c r="BI1" s="4" t="s">
        <v>124</v>
      </c>
      <c r="BJ1" s="4" t="s">
        <v>246</v>
      </c>
      <c r="BK1" s="4" t="s">
        <v>127</v>
      </c>
      <c r="BL1" s="4" t="s">
        <v>129</v>
      </c>
      <c r="BM1" s="4" t="s">
        <v>131</v>
      </c>
      <c r="BN1" s="4" t="s">
        <v>133</v>
      </c>
      <c r="BO1" s="4" t="s">
        <v>135</v>
      </c>
      <c r="BP1" s="4" t="s">
        <v>137</v>
      </c>
      <c r="BQ1" s="4" t="s">
        <v>139</v>
      </c>
      <c r="BR1" s="4" t="s">
        <v>141</v>
      </c>
      <c r="BS1" s="4" t="s">
        <v>143</v>
      </c>
      <c r="BT1" s="4" t="s">
        <v>247</v>
      </c>
      <c r="BU1" s="4" t="s">
        <v>146</v>
      </c>
      <c r="BV1" s="4" t="s">
        <v>148</v>
      </c>
      <c r="BW1" s="4" t="s">
        <v>150</v>
      </c>
      <c r="BX1" s="4" t="s">
        <v>152</v>
      </c>
      <c r="BY1" s="4" t="s">
        <v>154</v>
      </c>
      <c r="BZ1" s="4" t="s">
        <v>156</v>
      </c>
      <c r="CA1" s="4" t="s">
        <v>158</v>
      </c>
      <c r="CB1" s="4" t="s">
        <v>160</v>
      </c>
      <c r="CC1" s="4" t="s">
        <v>162</v>
      </c>
      <c r="CD1" s="4" t="s">
        <v>164</v>
      </c>
      <c r="CE1" s="4" t="s">
        <v>166</v>
      </c>
      <c r="CF1" s="4" t="s">
        <v>168</v>
      </c>
      <c r="CG1" s="4" t="s">
        <v>170</v>
      </c>
      <c r="CH1" s="4" t="s">
        <v>172</v>
      </c>
      <c r="CI1" s="4" t="s">
        <v>174</v>
      </c>
      <c r="CJ1" s="4" t="s">
        <v>176</v>
      </c>
      <c r="CK1" s="4" t="s">
        <v>178</v>
      </c>
      <c r="CL1" s="4" t="s">
        <v>180</v>
      </c>
      <c r="CM1" s="4" t="s">
        <v>182</v>
      </c>
      <c r="CN1" s="4" t="s">
        <v>184</v>
      </c>
      <c r="CO1" s="4" t="s">
        <v>186</v>
      </c>
      <c r="CP1" s="4" t="s">
        <v>188</v>
      </c>
      <c r="CQ1" s="4" t="s">
        <v>190</v>
      </c>
      <c r="CR1" s="4" t="s">
        <v>192</v>
      </c>
      <c r="CS1" s="4" t="s">
        <v>194</v>
      </c>
      <c r="CT1" s="4" t="s">
        <v>196</v>
      </c>
      <c r="CU1" s="4" t="s">
        <v>198</v>
      </c>
      <c r="CV1" s="4" t="s">
        <v>200</v>
      </c>
      <c r="CW1" s="4" t="s">
        <v>202</v>
      </c>
      <c r="CX1" s="4" t="s">
        <v>204</v>
      </c>
      <c r="CY1" s="4" t="s">
        <v>206</v>
      </c>
      <c r="CZ1" s="4" t="s">
        <v>208</v>
      </c>
      <c r="DA1" s="4" t="s">
        <v>210</v>
      </c>
      <c r="DB1" s="4" t="s">
        <v>212</v>
      </c>
      <c r="DC1" s="4" t="s">
        <v>214</v>
      </c>
      <c r="DD1" s="4" t="s">
        <v>216</v>
      </c>
      <c r="DE1" s="4" t="s">
        <v>218</v>
      </c>
      <c r="DF1" s="4" t="s">
        <v>220</v>
      </c>
      <c r="DG1" s="4" t="s">
        <v>222</v>
      </c>
      <c r="DH1" s="4" t="s">
        <v>224</v>
      </c>
      <c r="DI1" s="4" t="s">
        <v>226</v>
      </c>
      <c r="DJ1" s="4" t="s">
        <v>228</v>
      </c>
      <c r="DK1" s="4" t="s">
        <v>230</v>
      </c>
      <c r="DL1" s="4" t="s">
        <v>232</v>
      </c>
      <c r="DM1" s="4" t="s">
        <v>234</v>
      </c>
      <c r="DN1" s="4" t="s">
        <v>236</v>
      </c>
      <c r="DO1" s="4" t="s">
        <v>238</v>
      </c>
      <c r="DP1" s="4" t="s">
        <v>240</v>
      </c>
      <c r="DQ1" s="4" t="s">
        <v>242</v>
      </c>
    </row>
    <row r="2" spans="1:121" x14ac:dyDescent="0.25">
      <c r="A2" s="4" t="s">
        <v>0</v>
      </c>
      <c r="B2" s="4" t="s">
        <v>8</v>
      </c>
      <c r="C2" s="4" t="s">
        <v>10</v>
      </c>
      <c r="D2" s="4" t="s">
        <v>12</v>
      </c>
      <c r="E2" s="4" t="s">
        <v>14</v>
      </c>
      <c r="F2" s="4" t="s">
        <v>16</v>
      </c>
      <c r="G2" s="4" t="s">
        <v>18</v>
      </c>
      <c r="H2" s="4" t="s">
        <v>20</v>
      </c>
      <c r="I2" s="4" t="s">
        <v>22</v>
      </c>
      <c r="J2" s="4" t="s">
        <v>24</v>
      </c>
      <c r="K2" s="4" t="s">
        <v>26</v>
      </c>
      <c r="L2" s="4" t="s">
        <v>28</v>
      </c>
      <c r="M2" s="4" t="s">
        <v>30</v>
      </c>
      <c r="N2" s="4" t="s">
        <v>32</v>
      </c>
      <c r="O2" s="4" t="s">
        <v>34</v>
      </c>
      <c r="P2" s="4" t="s">
        <v>36</v>
      </c>
      <c r="Q2" s="4" t="s">
        <v>38</v>
      </c>
      <c r="R2" s="4" t="s">
        <v>40</v>
      </c>
      <c r="S2" s="4" t="s">
        <v>42</v>
      </c>
      <c r="T2" s="4" t="s">
        <v>44</v>
      </c>
      <c r="U2" s="4" t="s">
        <v>46</v>
      </c>
      <c r="V2" s="4" t="s">
        <v>48</v>
      </c>
      <c r="W2" s="4" t="s">
        <v>50</v>
      </c>
      <c r="X2" s="4" t="s">
        <v>52</v>
      </c>
      <c r="Y2" s="4" t="s">
        <v>54</v>
      </c>
      <c r="Z2" s="4" t="s">
        <v>56</v>
      </c>
      <c r="AA2" s="4" t="s">
        <v>58</v>
      </c>
      <c r="AB2" s="4" t="s">
        <v>60</v>
      </c>
      <c r="AC2" s="4" t="s">
        <v>62</v>
      </c>
      <c r="AD2" s="4" t="s">
        <v>64</v>
      </c>
      <c r="AE2" s="4" t="s">
        <v>66</v>
      </c>
      <c r="AF2" s="4" t="s">
        <v>68</v>
      </c>
      <c r="AG2" s="4" t="s">
        <v>70</v>
      </c>
      <c r="AH2" s="4" t="s">
        <v>72</v>
      </c>
      <c r="AI2" s="4" t="s">
        <v>74</v>
      </c>
      <c r="AJ2" s="4" t="s">
        <v>76</v>
      </c>
      <c r="AK2" s="4" t="s">
        <v>78</v>
      </c>
      <c r="AL2" s="4" t="s">
        <v>80</v>
      </c>
      <c r="AM2" s="4" t="s">
        <v>82</v>
      </c>
      <c r="AN2" s="4" t="s">
        <v>84</v>
      </c>
      <c r="AO2" s="4" t="s">
        <v>86</v>
      </c>
      <c r="AP2" s="4" t="s">
        <v>88</v>
      </c>
      <c r="AQ2" s="4" t="s">
        <v>90</v>
      </c>
      <c r="AR2" s="4" t="s">
        <v>92</v>
      </c>
      <c r="AS2" s="4" t="s">
        <v>94</v>
      </c>
      <c r="AT2" s="4" t="s">
        <v>96</v>
      </c>
      <c r="AU2" s="4" t="s">
        <v>98</v>
      </c>
      <c r="AV2" s="4" t="s">
        <v>100</v>
      </c>
      <c r="AW2" s="4" t="s">
        <v>102</v>
      </c>
      <c r="AX2" s="4" t="s">
        <v>104</v>
      </c>
      <c r="AY2" s="4" t="s">
        <v>106</v>
      </c>
      <c r="AZ2" s="4" t="s">
        <v>107</v>
      </c>
      <c r="BA2" s="4" t="s">
        <v>109</v>
      </c>
      <c r="BB2" s="4" t="s">
        <v>111</v>
      </c>
      <c r="BC2" s="4" t="s">
        <v>113</v>
      </c>
      <c r="BD2" s="4" t="s">
        <v>115</v>
      </c>
      <c r="BE2" s="4" t="s">
        <v>117</v>
      </c>
      <c r="BF2" s="4" t="s">
        <v>119</v>
      </c>
      <c r="BG2" s="4" t="s">
        <v>121</v>
      </c>
      <c r="BH2" s="4" t="s">
        <v>123</v>
      </c>
      <c r="BI2" s="4" t="s">
        <v>125</v>
      </c>
      <c r="BJ2" s="4" t="s">
        <v>126</v>
      </c>
      <c r="BK2" s="4" t="s">
        <v>128</v>
      </c>
      <c r="BL2" s="4" t="s">
        <v>130</v>
      </c>
      <c r="BM2" s="4" t="s">
        <v>132</v>
      </c>
      <c r="BN2" s="4" t="s">
        <v>134</v>
      </c>
      <c r="BO2" s="4" t="s">
        <v>136</v>
      </c>
      <c r="BP2" s="4" t="s">
        <v>138</v>
      </c>
      <c r="BQ2" s="4" t="s">
        <v>140</v>
      </c>
      <c r="BR2" s="4" t="s">
        <v>142</v>
      </c>
      <c r="BS2" s="4" t="s">
        <v>144</v>
      </c>
      <c r="BT2" s="4" t="s">
        <v>145</v>
      </c>
      <c r="BU2" s="4" t="s">
        <v>147</v>
      </c>
      <c r="BV2" s="4" t="s">
        <v>149</v>
      </c>
      <c r="BW2" s="4" t="s">
        <v>151</v>
      </c>
      <c r="BX2" s="4" t="s">
        <v>153</v>
      </c>
      <c r="BY2" s="4" t="s">
        <v>155</v>
      </c>
      <c r="BZ2" s="4" t="s">
        <v>157</v>
      </c>
      <c r="CA2" s="4" t="s">
        <v>159</v>
      </c>
      <c r="CB2" s="4" t="s">
        <v>161</v>
      </c>
      <c r="CC2" s="4" t="s">
        <v>163</v>
      </c>
      <c r="CD2" s="4" t="s">
        <v>165</v>
      </c>
      <c r="CE2" s="4" t="s">
        <v>167</v>
      </c>
      <c r="CF2" s="4" t="s">
        <v>169</v>
      </c>
      <c r="CG2" s="4" t="s">
        <v>171</v>
      </c>
      <c r="CH2" s="4" t="s">
        <v>173</v>
      </c>
      <c r="CI2" s="4" t="s">
        <v>175</v>
      </c>
      <c r="CJ2" s="4" t="s">
        <v>177</v>
      </c>
      <c r="CK2" s="4" t="s">
        <v>179</v>
      </c>
      <c r="CL2" s="4" t="s">
        <v>181</v>
      </c>
      <c r="CM2" s="4" t="s">
        <v>183</v>
      </c>
      <c r="CN2" s="4" t="s">
        <v>185</v>
      </c>
      <c r="CO2" s="4" t="s">
        <v>187</v>
      </c>
      <c r="CP2" s="4" t="s">
        <v>189</v>
      </c>
      <c r="CQ2" s="4" t="s">
        <v>191</v>
      </c>
      <c r="CR2" s="4" t="s">
        <v>193</v>
      </c>
      <c r="CS2" s="4" t="s">
        <v>195</v>
      </c>
      <c r="CT2" s="4" t="s">
        <v>197</v>
      </c>
      <c r="CU2" s="4" t="s">
        <v>199</v>
      </c>
      <c r="CV2" s="4" t="s">
        <v>201</v>
      </c>
      <c r="CW2" s="4" t="s">
        <v>203</v>
      </c>
      <c r="CX2" s="4" t="s">
        <v>205</v>
      </c>
      <c r="CY2" s="4" t="s">
        <v>207</v>
      </c>
      <c r="CZ2" s="4" t="s">
        <v>209</v>
      </c>
      <c r="DA2" s="4" t="s">
        <v>211</v>
      </c>
      <c r="DB2" s="4" t="s">
        <v>213</v>
      </c>
      <c r="DC2" s="4" t="s">
        <v>215</v>
      </c>
      <c r="DD2" s="4" t="s">
        <v>217</v>
      </c>
      <c r="DE2" s="4" t="s">
        <v>219</v>
      </c>
      <c r="DF2" s="4" t="s">
        <v>221</v>
      </c>
      <c r="DG2" s="4" t="s">
        <v>223</v>
      </c>
      <c r="DH2" s="4" t="s">
        <v>225</v>
      </c>
      <c r="DI2" s="4" t="s">
        <v>227</v>
      </c>
      <c r="DJ2" s="4" t="s">
        <v>229</v>
      </c>
      <c r="DK2" s="4" t="s">
        <v>231</v>
      </c>
      <c r="DL2" s="4" t="s">
        <v>233</v>
      </c>
      <c r="DM2" s="4" t="s">
        <v>235</v>
      </c>
      <c r="DN2" s="4" t="s">
        <v>237</v>
      </c>
      <c r="DO2" s="4" t="s">
        <v>239</v>
      </c>
      <c r="DP2" s="4" t="s">
        <v>241</v>
      </c>
      <c r="DQ2" s="4" t="s">
        <v>243</v>
      </c>
    </row>
    <row r="3" spans="1:121" x14ac:dyDescent="0.25">
      <c r="A3" s="4" t="s">
        <v>1</v>
      </c>
      <c r="B3" s="4">
        <v>0.56599999999999995</v>
      </c>
      <c r="C3" s="4">
        <v>0.5504</v>
      </c>
      <c r="D3" s="4">
        <v>0.5504</v>
      </c>
      <c r="E3" s="4">
        <v>0.5474</v>
      </c>
      <c r="F3" s="4">
        <v>0.54400000000000004</v>
      </c>
      <c r="G3" s="4">
        <v>0.54390000000000005</v>
      </c>
      <c r="H3" s="4">
        <v>0.54379999999999995</v>
      </c>
      <c r="I3" s="4">
        <v>0.5423</v>
      </c>
      <c r="J3" s="4">
        <v>0.54190000000000005</v>
      </c>
      <c r="K3" s="4">
        <v>0.54190000000000005</v>
      </c>
      <c r="L3" s="4">
        <v>0.54169999999999996</v>
      </c>
      <c r="M3" s="4">
        <v>0.54159999999999997</v>
      </c>
      <c r="N3" s="4">
        <v>0.54049999999999998</v>
      </c>
      <c r="O3" s="4">
        <v>0.53669999999999995</v>
      </c>
      <c r="P3" s="4">
        <v>0.53600000000000003</v>
      </c>
      <c r="Q3" s="4">
        <v>0.53510000000000002</v>
      </c>
      <c r="R3" s="4">
        <v>0.53449999999999998</v>
      </c>
      <c r="S3" s="4">
        <v>0.53449999999999998</v>
      </c>
      <c r="T3" s="4">
        <v>0.53310000000000002</v>
      </c>
      <c r="U3" s="4">
        <v>0.53249999999999997</v>
      </c>
      <c r="V3" s="4">
        <v>0.53159999999999996</v>
      </c>
      <c r="W3" s="4">
        <v>0.53039999999999998</v>
      </c>
      <c r="X3" s="4">
        <v>0.52969999999999995</v>
      </c>
      <c r="Y3" s="4">
        <v>0.52890000000000004</v>
      </c>
      <c r="Z3" s="4">
        <v>0.52859999999999996</v>
      </c>
      <c r="AA3" s="4">
        <v>0.52829999999999999</v>
      </c>
      <c r="AB3" s="4">
        <v>0.52690000000000003</v>
      </c>
      <c r="AC3" s="4">
        <v>0.52629999999999999</v>
      </c>
      <c r="AD3" s="4">
        <v>0.52629999999999999</v>
      </c>
      <c r="AE3" s="4">
        <v>0.52610000000000001</v>
      </c>
      <c r="AF3" s="4">
        <v>0.52569999999999995</v>
      </c>
      <c r="AG3" s="4">
        <v>0.52339999999999998</v>
      </c>
      <c r="AH3" s="4">
        <v>0.52339999999999998</v>
      </c>
      <c r="AI3" s="4">
        <v>0.52339999999999998</v>
      </c>
      <c r="AJ3" s="4">
        <v>0.51939999999999997</v>
      </c>
      <c r="AK3" s="4">
        <v>0.51700000000000002</v>
      </c>
      <c r="AL3" s="4">
        <v>0.51570000000000005</v>
      </c>
      <c r="AM3" s="4">
        <v>0.5151</v>
      </c>
      <c r="AN3" s="4">
        <v>0.51470000000000005</v>
      </c>
      <c r="AO3" s="4">
        <v>0.51429999999999998</v>
      </c>
      <c r="AP3" s="4">
        <v>0.51359999999999995</v>
      </c>
      <c r="AQ3" s="4">
        <v>0.5131</v>
      </c>
      <c r="AR3" s="4">
        <v>0.51280000000000003</v>
      </c>
      <c r="AS3" s="4">
        <v>0.51270000000000004</v>
      </c>
      <c r="AT3" s="4">
        <v>0.51219999999999999</v>
      </c>
      <c r="AU3" s="4">
        <v>0.51070000000000004</v>
      </c>
      <c r="AV3" s="4">
        <v>0.51049999999999995</v>
      </c>
      <c r="AW3" s="4">
        <v>0.51019999999999999</v>
      </c>
      <c r="AX3" s="4">
        <v>0.50949999999999995</v>
      </c>
      <c r="AY3" s="4">
        <v>0.50939999999999996</v>
      </c>
      <c r="AZ3" s="4">
        <v>0.50939999999999996</v>
      </c>
      <c r="BA3" s="4">
        <v>0.50819999999999999</v>
      </c>
      <c r="BB3" s="4">
        <v>0.50800000000000001</v>
      </c>
      <c r="BC3" s="4">
        <v>0.50790000000000002</v>
      </c>
      <c r="BD3" s="4">
        <v>0.50780000000000003</v>
      </c>
      <c r="BE3" s="4">
        <v>0.50739999999999996</v>
      </c>
      <c r="BF3" s="4">
        <v>0.5071</v>
      </c>
      <c r="BG3" s="4">
        <v>0.50700000000000001</v>
      </c>
      <c r="BH3" s="4">
        <v>0.50590000000000002</v>
      </c>
      <c r="BI3" s="4">
        <v>0.50570000000000004</v>
      </c>
      <c r="BJ3" s="4">
        <v>0.50529999999999997</v>
      </c>
      <c r="BK3" s="4">
        <v>0.50519999999999998</v>
      </c>
      <c r="BL3" s="4">
        <v>0.50509999999999999</v>
      </c>
      <c r="BM3" s="4">
        <v>0.50470000000000004</v>
      </c>
      <c r="BN3" s="4">
        <v>0.50449999999999995</v>
      </c>
      <c r="BO3" s="4">
        <v>0.50360000000000005</v>
      </c>
      <c r="BP3" s="4">
        <v>0.50229999999999997</v>
      </c>
      <c r="BQ3" s="4">
        <v>0.50229999999999997</v>
      </c>
      <c r="BR3" s="4">
        <v>0.502</v>
      </c>
      <c r="BS3" s="4">
        <v>0.50080000000000002</v>
      </c>
      <c r="BT3" s="4">
        <v>0.5</v>
      </c>
      <c r="BU3" s="4">
        <v>0.49959999999999999</v>
      </c>
      <c r="BV3" s="4">
        <v>0.49940000000000001</v>
      </c>
      <c r="BW3" s="4">
        <v>0.49819999999999998</v>
      </c>
      <c r="BX3" s="4">
        <v>0.49809999999999999</v>
      </c>
      <c r="BY3" s="4">
        <v>0.49659999999999999</v>
      </c>
      <c r="BZ3" s="4">
        <v>0.49609999999999999</v>
      </c>
      <c r="CA3" s="4">
        <v>0.49540000000000001</v>
      </c>
      <c r="CB3" s="4">
        <v>0.495</v>
      </c>
      <c r="CC3" s="4">
        <v>0.49490000000000001</v>
      </c>
      <c r="CD3" s="4">
        <v>0.49480000000000002</v>
      </c>
      <c r="CE3" s="4">
        <v>0.4945</v>
      </c>
      <c r="CF3" s="4">
        <v>0.49230000000000002</v>
      </c>
      <c r="CG3" s="4">
        <v>0.48920000000000002</v>
      </c>
      <c r="CH3" s="4">
        <v>0.48870000000000002</v>
      </c>
      <c r="CI3" s="4">
        <v>0.4844</v>
      </c>
      <c r="CJ3" s="4">
        <v>0.48370000000000002</v>
      </c>
      <c r="CK3" s="4">
        <v>0.48249999999999998</v>
      </c>
      <c r="CL3" s="4">
        <v>0.48130000000000001</v>
      </c>
      <c r="CM3" s="4">
        <v>0.4798</v>
      </c>
      <c r="CN3" s="4">
        <v>0.4793</v>
      </c>
      <c r="CO3" s="4">
        <v>0.47849999999999998</v>
      </c>
      <c r="CP3" s="4">
        <v>0.4783</v>
      </c>
      <c r="CQ3" s="4">
        <v>0.47789999999999999</v>
      </c>
      <c r="CR3" s="4">
        <v>0.47739999999999999</v>
      </c>
      <c r="CS3" s="4">
        <v>0.47670000000000001</v>
      </c>
      <c r="CT3" s="4">
        <v>0.47649999999999998</v>
      </c>
      <c r="CU3" s="4">
        <v>0.47339999999999999</v>
      </c>
      <c r="CV3" s="4">
        <v>0.47310000000000002</v>
      </c>
      <c r="CW3" s="4">
        <v>0.47260000000000002</v>
      </c>
      <c r="CX3" s="4">
        <v>0.47220000000000001</v>
      </c>
      <c r="CY3" s="4">
        <v>0.4718</v>
      </c>
      <c r="CZ3" s="4">
        <v>0.47160000000000002</v>
      </c>
      <c r="DA3" s="4">
        <v>0.47149999999999997</v>
      </c>
      <c r="DB3" s="4">
        <v>0.47139999999999999</v>
      </c>
      <c r="DC3" s="4">
        <v>0.47110000000000002</v>
      </c>
      <c r="DD3" s="4">
        <v>0.47060000000000002</v>
      </c>
      <c r="DE3" s="4">
        <v>0.46939999999999998</v>
      </c>
      <c r="DF3" s="4">
        <v>0.46760000000000002</v>
      </c>
      <c r="DG3" s="4">
        <v>0.46310000000000001</v>
      </c>
      <c r="DH3" s="4">
        <v>0.46200000000000002</v>
      </c>
      <c r="DI3" s="4">
        <v>0.46179999999999999</v>
      </c>
      <c r="DJ3" s="4">
        <v>0.45750000000000002</v>
      </c>
      <c r="DK3" s="4">
        <v>0.45700000000000002</v>
      </c>
      <c r="DL3" s="4">
        <v>0.45679999999999998</v>
      </c>
      <c r="DM3" s="4">
        <v>0.45400000000000001</v>
      </c>
      <c r="DN3" s="4">
        <v>0.4506</v>
      </c>
      <c r="DO3" s="4">
        <v>0.439</v>
      </c>
      <c r="DP3" s="4">
        <v>0.43830000000000002</v>
      </c>
      <c r="DQ3" s="4">
        <v>0.40920000000000001</v>
      </c>
    </row>
    <row r="4" spans="1:121" x14ac:dyDescent="0.25">
      <c r="A4" s="4" t="s">
        <v>2</v>
      </c>
      <c r="B4" s="4">
        <v>14234</v>
      </c>
      <c r="C4" s="4">
        <v>10382</v>
      </c>
      <c r="D4" s="4">
        <v>7693</v>
      </c>
      <c r="E4" s="4">
        <v>5855</v>
      </c>
      <c r="F4" s="4">
        <v>18497</v>
      </c>
      <c r="G4" s="4">
        <v>8385</v>
      </c>
      <c r="H4" s="4">
        <v>9112</v>
      </c>
      <c r="I4" s="4">
        <v>11062</v>
      </c>
      <c r="J4" s="4">
        <v>17716</v>
      </c>
      <c r="K4" s="4">
        <v>7462</v>
      </c>
      <c r="L4" s="4">
        <v>5546</v>
      </c>
      <c r="M4" s="4">
        <v>4130</v>
      </c>
      <c r="N4" s="4">
        <v>10711</v>
      </c>
      <c r="O4" s="4">
        <v>7738</v>
      </c>
      <c r="P4" s="4">
        <v>17032</v>
      </c>
      <c r="Q4" s="4">
        <v>11673</v>
      </c>
      <c r="R4" s="4">
        <v>7309</v>
      </c>
      <c r="S4" s="4">
        <v>10952</v>
      </c>
      <c r="T4" s="4">
        <v>9614</v>
      </c>
      <c r="U4" s="4">
        <v>5608</v>
      </c>
      <c r="V4" s="4">
        <v>9710</v>
      </c>
      <c r="W4" s="4">
        <v>5850</v>
      </c>
      <c r="X4" s="4">
        <v>12174</v>
      </c>
      <c r="Y4" s="4">
        <v>5061</v>
      </c>
      <c r="Z4" s="4">
        <v>6035</v>
      </c>
      <c r="AA4" s="4">
        <v>12912</v>
      </c>
      <c r="AB4" s="4">
        <v>10571</v>
      </c>
      <c r="AC4" s="4">
        <v>4138</v>
      </c>
      <c r="AD4" s="4">
        <v>9520</v>
      </c>
      <c r="AE4" s="4">
        <v>6554</v>
      </c>
      <c r="AF4" s="4">
        <v>7974</v>
      </c>
      <c r="AG4" s="4">
        <v>2946</v>
      </c>
      <c r="AH4" s="4">
        <v>9503</v>
      </c>
      <c r="AI4" s="4">
        <v>6683</v>
      </c>
      <c r="AJ4" s="4">
        <v>4505</v>
      </c>
      <c r="AK4" s="4">
        <v>7528</v>
      </c>
      <c r="AL4" s="4">
        <v>12009</v>
      </c>
      <c r="AM4" s="4">
        <v>12381</v>
      </c>
      <c r="AN4" s="4">
        <v>5603</v>
      </c>
      <c r="AO4" s="4">
        <v>24173</v>
      </c>
      <c r="AP4" s="4">
        <v>17735</v>
      </c>
      <c r="AQ4" s="4">
        <v>10592</v>
      </c>
      <c r="AR4" s="4">
        <v>5864</v>
      </c>
      <c r="AS4" s="4">
        <v>7829</v>
      </c>
      <c r="AT4" s="4">
        <v>15104</v>
      </c>
      <c r="AU4" s="4">
        <v>11213</v>
      </c>
      <c r="AV4" s="4">
        <v>8560</v>
      </c>
      <c r="AW4" s="4">
        <v>11716</v>
      </c>
      <c r="AX4" s="4">
        <v>17003</v>
      </c>
      <c r="AY4" s="4">
        <v>8477</v>
      </c>
      <c r="AZ4" s="4">
        <v>3610</v>
      </c>
      <c r="BA4" s="4">
        <v>8274</v>
      </c>
      <c r="BB4" s="4">
        <v>12903</v>
      </c>
      <c r="BC4" s="4">
        <v>19262</v>
      </c>
      <c r="BD4" s="4">
        <v>12245</v>
      </c>
      <c r="BE4" s="4">
        <v>8888</v>
      </c>
      <c r="BF4" s="4">
        <v>8216</v>
      </c>
      <c r="BG4" s="4">
        <v>3505</v>
      </c>
      <c r="BH4" s="4">
        <v>6804</v>
      </c>
      <c r="BI4" s="4">
        <v>7081</v>
      </c>
      <c r="BJ4" s="4">
        <v>10027</v>
      </c>
      <c r="BK4" s="4">
        <v>4341</v>
      </c>
      <c r="BL4" s="4">
        <v>12180</v>
      </c>
      <c r="BM4" s="4">
        <v>4163</v>
      </c>
      <c r="BN4" s="4">
        <v>7381</v>
      </c>
      <c r="BO4" s="4">
        <v>16443</v>
      </c>
      <c r="BP4" s="4">
        <v>12166</v>
      </c>
      <c r="BQ4" s="4">
        <v>5839</v>
      </c>
      <c r="BR4" s="4">
        <v>8687</v>
      </c>
      <c r="BS4" s="4">
        <v>10985</v>
      </c>
      <c r="BT4" s="4">
        <v>6444</v>
      </c>
      <c r="BU4" s="4">
        <v>5288</v>
      </c>
      <c r="BV4" s="4">
        <v>6476</v>
      </c>
      <c r="BW4" s="4">
        <v>5620</v>
      </c>
      <c r="BX4" s="4">
        <v>6780</v>
      </c>
      <c r="BY4" s="4">
        <v>7394</v>
      </c>
      <c r="BZ4" s="4">
        <v>20277</v>
      </c>
      <c r="CA4" s="4">
        <v>13271</v>
      </c>
      <c r="CB4" s="4">
        <v>8917</v>
      </c>
      <c r="CC4" s="4">
        <v>5300</v>
      </c>
      <c r="CD4" s="4">
        <v>17456</v>
      </c>
      <c r="CE4" s="4">
        <v>9007</v>
      </c>
      <c r="CF4" s="4">
        <v>8060</v>
      </c>
      <c r="CG4" s="4">
        <v>9867</v>
      </c>
      <c r="CH4" s="4">
        <v>10754</v>
      </c>
      <c r="CI4" s="4">
        <v>16095</v>
      </c>
      <c r="CJ4" s="4">
        <v>4836</v>
      </c>
      <c r="CK4" s="4">
        <v>7187</v>
      </c>
      <c r="CL4" s="4">
        <v>1681</v>
      </c>
      <c r="CM4" s="4">
        <v>5181</v>
      </c>
      <c r="CN4" s="4">
        <v>6835</v>
      </c>
      <c r="CO4" s="4">
        <v>4541</v>
      </c>
      <c r="CP4" s="4">
        <v>3360</v>
      </c>
      <c r="CQ4" s="4">
        <v>8468</v>
      </c>
      <c r="CR4" s="4">
        <v>4661</v>
      </c>
      <c r="CS4" s="4">
        <v>6812</v>
      </c>
      <c r="CT4" s="4">
        <v>11133</v>
      </c>
      <c r="CU4" s="4">
        <v>10282</v>
      </c>
      <c r="CV4" s="4">
        <v>10847</v>
      </c>
      <c r="CW4" s="4">
        <v>7260</v>
      </c>
      <c r="CX4" s="4">
        <v>8787</v>
      </c>
      <c r="CY4" s="4">
        <v>7736</v>
      </c>
      <c r="CZ4" s="4">
        <v>4088</v>
      </c>
      <c r="DA4" s="4">
        <v>6588</v>
      </c>
      <c r="DB4" s="4">
        <v>5934</v>
      </c>
      <c r="DC4" s="4">
        <v>6476</v>
      </c>
      <c r="DD4" s="4">
        <v>15960</v>
      </c>
      <c r="DE4" s="4">
        <v>4959</v>
      </c>
      <c r="DF4" s="4">
        <v>9303</v>
      </c>
      <c r="DG4" s="4">
        <v>9400</v>
      </c>
      <c r="DH4" s="4">
        <v>5941</v>
      </c>
      <c r="DI4" s="4">
        <v>7244</v>
      </c>
      <c r="DJ4" s="4">
        <v>10996</v>
      </c>
      <c r="DK4" s="4">
        <v>8322</v>
      </c>
      <c r="DL4" s="4">
        <v>7566</v>
      </c>
      <c r="DM4" s="4">
        <v>4015</v>
      </c>
      <c r="DN4" s="4">
        <v>78602</v>
      </c>
      <c r="DO4" s="4">
        <v>6915</v>
      </c>
      <c r="DP4" s="4">
        <v>5435</v>
      </c>
      <c r="DQ4" s="4">
        <v>3551</v>
      </c>
    </row>
    <row r="5" spans="1:121" x14ac:dyDescent="0.25">
      <c r="A5" s="4" t="s">
        <v>3</v>
      </c>
      <c r="B5" s="4">
        <v>2.15</v>
      </c>
      <c r="C5" s="4">
        <v>1.76</v>
      </c>
      <c r="D5" s="4">
        <v>1.7</v>
      </c>
      <c r="E5" s="4">
        <v>1.58</v>
      </c>
      <c r="F5" s="4">
        <v>1.85</v>
      </c>
      <c r="G5" s="4">
        <v>1.96</v>
      </c>
      <c r="H5" s="4">
        <v>1.92</v>
      </c>
      <c r="I5" s="4">
        <v>1.56</v>
      </c>
      <c r="J5" s="4">
        <v>2.0699999999999998</v>
      </c>
      <c r="K5" s="4">
        <v>1.83</v>
      </c>
      <c r="L5" s="4">
        <v>1.96</v>
      </c>
      <c r="M5" s="4">
        <v>1.54</v>
      </c>
      <c r="N5" s="4">
        <v>1.67</v>
      </c>
      <c r="O5" s="4">
        <v>2.06</v>
      </c>
      <c r="P5" s="4">
        <v>2.02</v>
      </c>
      <c r="Q5" s="4">
        <v>1.6</v>
      </c>
      <c r="R5" s="4">
        <v>1.93</v>
      </c>
      <c r="S5" s="4">
        <v>1.89</v>
      </c>
      <c r="T5" s="4">
        <v>1.54</v>
      </c>
      <c r="U5" s="4">
        <v>1.82</v>
      </c>
      <c r="V5" s="4">
        <v>1.99</v>
      </c>
      <c r="W5" s="4">
        <v>1.64</v>
      </c>
      <c r="X5" s="4">
        <v>1.69</v>
      </c>
      <c r="Y5" s="4">
        <v>1.59</v>
      </c>
      <c r="Z5" s="4">
        <v>2.23</v>
      </c>
      <c r="AA5" s="4">
        <v>1.6</v>
      </c>
      <c r="AB5" s="4">
        <v>1.56</v>
      </c>
      <c r="AC5" s="4">
        <v>1.65</v>
      </c>
      <c r="AD5" s="4">
        <v>2.1</v>
      </c>
      <c r="AE5" s="4">
        <v>1.61</v>
      </c>
      <c r="AF5" s="4">
        <v>1.56</v>
      </c>
      <c r="AG5" s="4">
        <v>1.96</v>
      </c>
      <c r="AH5" s="4">
        <v>1.86</v>
      </c>
      <c r="AI5" s="4">
        <v>1.68</v>
      </c>
      <c r="AJ5" s="4">
        <v>1.64</v>
      </c>
      <c r="AK5" s="4">
        <v>1.64</v>
      </c>
      <c r="AL5" s="4">
        <v>1.71</v>
      </c>
      <c r="AM5" s="4">
        <v>1.98</v>
      </c>
      <c r="AN5" s="4">
        <v>1.5</v>
      </c>
      <c r="AO5" s="4">
        <v>1.67</v>
      </c>
      <c r="AP5" s="4">
        <v>1.45</v>
      </c>
      <c r="AQ5" s="4">
        <v>1.63</v>
      </c>
      <c r="AR5" s="4">
        <v>1.83</v>
      </c>
      <c r="AS5" s="4">
        <v>1.77</v>
      </c>
      <c r="AT5" s="4">
        <v>2.02</v>
      </c>
      <c r="AU5" s="4">
        <v>2.0699999999999998</v>
      </c>
      <c r="AV5" s="4">
        <v>1.55</v>
      </c>
      <c r="AW5" s="4">
        <v>1.66</v>
      </c>
      <c r="AX5" s="4">
        <v>1.61</v>
      </c>
      <c r="AY5" s="4">
        <v>1.68</v>
      </c>
      <c r="AZ5" s="4">
        <v>1.94</v>
      </c>
      <c r="BA5" s="4">
        <v>2.09</v>
      </c>
      <c r="BB5" s="4">
        <v>2.0699999999999998</v>
      </c>
      <c r="BC5" s="4">
        <v>1.71</v>
      </c>
      <c r="BD5" s="4">
        <v>1.64</v>
      </c>
      <c r="BE5" s="4">
        <v>1.65</v>
      </c>
      <c r="BF5" s="4">
        <v>1.53</v>
      </c>
      <c r="BG5" s="4">
        <v>1.55</v>
      </c>
      <c r="BH5" s="4">
        <v>1.81</v>
      </c>
      <c r="BI5" s="4">
        <v>1.61</v>
      </c>
      <c r="BJ5" s="4">
        <v>1.6</v>
      </c>
      <c r="BK5" s="4">
        <v>1.96</v>
      </c>
      <c r="BL5" s="4">
        <v>1.75</v>
      </c>
      <c r="BM5" s="4">
        <v>1.36</v>
      </c>
      <c r="BN5" s="4">
        <v>1.65</v>
      </c>
      <c r="BO5" s="4">
        <v>1.93</v>
      </c>
      <c r="BP5" s="4">
        <v>1.62</v>
      </c>
      <c r="BQ5" s="4">
        <v>1.61</v>
      </c>
      <c r="BR5" s="4">
        <v>1.69</v>
      </c>
      <c r="BS5" s="4">
        <v>1.91</v>
      </c>
      <c r="BT5" s="4">
        <v>1.54</v>
      </c>
      <c r="BU5" s="4">
        <v>1.68</v>
      </c>
      <c r="BV5" s="4">
        <v>1.5</v>
      </c>
      <c r="BW5" s="4">
        <v>2</v>
      </c>
      <c r="BX5" s="4">
        <v>1.71</v>
      </c>
      <c r="BY5" s="4">
        <v>1.69</v>
      </c>
      <c r="BZ5" s="4">
        <v>1.69</v>
      </c>
      <c r="CA5" s="4">
        <v>1.85</v>
      </c>
      <c r="CB5" s="4">
        <v>1.96</v>
      </c>
      <c r="CC5" s="4">
        <v>2.0699999999999998</v>
      </c>
      <c r="CD5" s="4">
        <v>1.7</v>
      </c>
      <c r="CE5" s="4">
        <v>1.93</v>
      </c>
      <c r="CF5" s="4">
        <v>1.43</v>
      </c>
      <c r="CG5" s="4">
        <v>1.9</v>
      </c>
      <c r="CH5" s="4">
        <v>1.73</v>
      </c>
      <c r="CI5" s="4">
        <v>1.75</v>
      </c>
      <c r="CJ5" s="4">
        <v>1.79</v>
      </c>
      <c r="CK5" s="4">
        <v>1.82</v>
      </c>
      <c r="CL5" s="4">
        <v>1.44</v>
      </c>
      <c r="CM5" s="4">
        <v>1.56</v>
      </c>
      <c r="CN5" s="4">
        <v>1.88</v>
      </c>
      <c r="CO5" s="4">
        <v>1.75</v>
      </c>
      <c r="CP5" s="4">
        <v>1.9</v>
      </c>
      <c r="CQ5" s="4">
        <v>1.91</v>
      </c>
      <c r="CR5" s="4">
        <v>1.56</v>
      </c>
      <c r="CS5" s="4">
        <v>1.54</v>
      </c>
      <c r="CT5" s="4">
        <v>1.82</v>
      </c>
      <c r="CU5" s="4">
        <v>1.42</v>
      </c>
      <c r="CV5" s="4">
        <v>1.86</v>
      </c>
      <c r="CW5" s="4">
        <v>1.6</v>
      </c>
      <c r="CX5" s="4">
        <v>1.45</v>
      </c>
      <c r="CY5" s="4">
        <v>1.71</v>
      </c>
      <c r="CZ5" s="4">
        <v>1.86</v>
      </c>
      <c r="DA5" s="4">
        <v>1.61</v>
      </c>
      <c r="DB5" s="4">
        <v>1.89</v>
      </c>
      <c r="DC5" s="4">
        <v>1.76</v>
      </c>
      <c r="DD5" s="4">
        <v>1.67</v>
      </c>
      <c r="DE5" s="4">
        <v>1.68</v>
      </c>
      <c r="DF5" s="4">
        <v>1.85</v>
      </c>
      <c r="DG5" s="4">
        <v>1.79</v>
      </c>
      <c r="DH5" s="4">
        <v>1.56</v>
      </c>
      <c r="DI5" s="4">
        <v>1.48</v>
      </c>
      <c r="DJ5" s="4">
        <v>1.49</v>
      </c>
      <c r="DK5" s="4">
        <v>1.51</v>
      </c>
      <c r="DL5" s="4">
        <v>1.78</v>
      </c>
      <c r="DM5" s="4">
        <v>1.27</v>
      </c>
      <c r="DN5" s="4">
        <v>1.4</v>
      </c>
      <c r="DO5" s="4">
        <v>1.86</v>
      </c>
      <c r="DP5" s="4">
        <v>1.36</v>
      </c>
      <c r="DQ5" s="4">
        <v>1.55</v>
      </c>
    </row>
    <row r="6" spans="1:121" x14ac:dyDescent="0.25">
      <c r="A6" s="4" t="s">
        <v>4</v>
      </c>
      <c r="B6" s="4">
        <v>17094</v>
      </c>
      <c r="C6" s="4">
        <v>24012</v>
      </c>
      <c r="D6" s="4">
        <v>19638</v>
      </c>
      <c r="E6" s="4">
        <v>14564</v>
      </c>
      <c r="F6" s="4">
        <v>16567</v>
      </c>
      <c r="G6" s="4">
        <v>18209</v>
      </c>
      <c r="H6" s="4">
        <v>7412</v>
      </c>
      <c r="I6" s="4">
        <v>19800</v>
      </c>
      <c r="J6" s="4">
        <v>19750</v>
      </c>
      <c r="K6" s="4">
        <v>18149</v>
      </c>
      <c r="L6" s="4">
        <v>18301</v>
      </c>
      <c r="M6" s="4">
        <v>17615</v>
      </c>
      <c r="N6" s="4">
        <v>15971</v>
      </c>
      <c r="O6" s="4">
        <v>17167</v>
      </c>
      <c r="P6" s="4">
        <v>17322</v>
      </c>
      <c r="Q6" s="4">
        <v>18721</v>
      </c>
      <c r="R6" s="4">
        <v>14947</v>
      </c>
      <c r="S6" s="4">
        <v>15829</v>
      </c>
      <c r="T6" s="4">
        <v>21388</v>
      </c>
      <c r="U6" s="4">
        <v>18072</v>
      </c>
      <c r="V6" s="4">
        <v>18549</v>
      </c>
      <c r="W6" s="4">
        <v>19601</v>
      </c>
      <c r="X6" s="4">
        <v>18776</v>
      </c>
      <c r="Y6" s="4">
        <v>19368</v>
      </c>
      <c r="Z6" s="4">
        <v>12135</v>
      </c>
      <c r="AA6" s="4">
        <v>18504</v>
      </c>
      <c r="AB6" s="4">
        <v>18020</v>
      </c>
      <c r="AC6" s="4">
        <v>20598</v>
      </c>
      <c r="AD6" s="4">
        <v>17213</v>
      </c>
      <c r="AE6" s="4">
        <v>15998</v>
      </c>
      <c r="AF6" s="4">
        <v>19629</v>
      </c>
      <c r="AG6" s="4">
        <v>19575</v>
      </c>
      <c r="AH6" s="4">
        <v>11329</v>
      </c>
      <c r="AI6" s="4">
        <v>18129</v>
      </c>
      <c r="AJ6" s="4">
        <v>17270</v>
      </c>
      <c r="AK6" s="4">
        <v>16982</v>
      </c>
      <c r="AL6" s="4">
        <v>12066</v>
      </c>
      <c r="AM6" s="4">
        <v>11321</v>
      </c>
      <c r="AN6" s="4">
        <v>20739</v>
      </c>
      <c r="AO6" s="4">
        <v>16447</v>
      </c>
      <c r="AP6" s="4">
        <v>17249</v>
      </c>
      <c r="AQ6" s="4">
        <v>17497</v>
      </c>
      <c r="AR6" s="4">
        <v>13606</v>
      </c>
      <c r="AS6" s="4">
        <v>17295</v>
      </c>
      <c r="AT6" s="4">
        <v>12741</v>
      </c>
      <c r="AU6" s="4">
        <v>16710</v>
      </c>
      <c r="AV6" s="4">
        <v>18703</v>
      </c>
      <c r="AW6" s="4">
        <v>16399</v>
      </c>
      <c r="AX6" s="4">
        <v>17212</v>
      </c>
      <c r="AY6" s="4">
        <v>19491</v>
      </c>
      <c r="AZ6" s="4">
        <v>9658</v>
      </c>
      <c r="BA6" s="4">
        <v>16329</v>
      </c>
      <c r="BB6" s="4">
        <v>11672</v>
      </c>
      <c r="BC6" s="4">
        <v>10366</v>
      </c>
      <c r="BD6" s="4">
        <v>17345</v>
      </c>
      <c r="BE6" s="4">
        <v>18798</v>
      </c>
      <c r="BF6" s="4">
        <v>15875</v>
      </c>
      <c r="BG6" s="4">
        <v>18002</v>
      </c>
      <c r="BH6" s="4">
        <v>17519</v>
      </c>
      <c r="BI6" s="4">
        <v>17669</v>
      </c>
      <c r="BJ6" s="4">
        <v>18569</v>
      </c>
      <c r="BK6" s="4">
        <v>12266</v>
      </c>
      <c r="BL6" s="4">
        <v>17348</v>
      </c>
      <c r="BM6" s="4">
        <v>15629</v>
      </c>
      <c r="BN6" s="4">
        <v>10035</v>
      </c>
      <c r="BO6" s="4">
        <v>15985</v>
      </c>
      <c r="BP6" s="4">
        <v>11894</v>
      </c>
      <c r="BQ6" s="4">
        <v>19287</v>
      </c>
      <c r="BR6" s="4">
        <v>13883</v>
      </c>
      <c r="BS6" s="4">
        <v>16001</v>
      </c>
      <c r="BT6" s="4">
        <v>18446</v>
      </c>
      <c r="BU6" s="4">
        <v>14331</v>
      </c>
      <c r="BV6" s="4">
        <v>11612</v>
      </c>
      <c r="BW6" s="4">
        <v>8070</v>
      </c>
      <c r="BX6" s="4">
        <v>10690</v>
      </c>
      <c r="BY6" s="4">
        <v>15577</v>
      </c>
      <c r="BZ6" s="4">
        <v>17705</v>
      </c>
      <c r="CA6" s="4">
        <v>10103</v>
      </c>
      <c r="CB6" s="4">
        <v>16265</v>
      </c>
      <c r="CC6" s="4">
        <v>10036</v>
      </c>
      <c r="CD6" s="4">
        <v>15877</v>
      </c>
      <c r="CE6" s="4">
        <v>16255</v>
      </c>
      <c r="CF6" s="4">
        <v>17532</v>
      </c>
      <c r="CG6" s="4">
        <v>15872</v>
      </c>
      <c r="CH6" s="4">
        <v>17017</v>
      </c>
      <c r="CI6" s="4">
        <v>15721</v>
      </c>
      <c r="CJ6" s="4">
        <v>12459</v>
      </c>
      <c r="CK6" s="4">
        <v>16597</v>
      </c>
      <c r="CL6" s="4">
        <v>15893</v>
      </c>
      <c r="CM6" s="4">
        <v>17833</v>
      </c>
      <c r="CN6" s="4">
        <v>17663</v>
      </c>
      <c r="CO6" s="4">
        <v>16072</v>
      </c>
      <c r="CP6" s="4">
        <v>12836</v>
      </c>
      <c r="CQ6" s="4">
        <v>15243</v>
      </c>
      <c r="CR6" s="4">
        <v>15865</v>
      </c>
      <c r="CS6" s="4">
        <v>17516</v>
      </c>
      <c r="CT6" s="4">
        <v>14647</v>
      </c>
      <c r="CU6" s="4">
        <v>16771</v>
      </c>
      <c r="CV6" s="4">
        <v>10519</v>
      </c>
      <c r="CW6" s="4">
        <v>17073</v>
      </c>
      <c r="CX6" s="4">
        <v>17692</v>
      </c>
      <c r="CY6" s="4">
        <v>12045</v>
      </c>
      <c r="CZ6" s="4">
        <v>15760</v>
      </c>
      <c r="DA6" s="4">
        <v>17326</v>
      </c>
      <c r="DB6" s="4">
        <v>8160</v>
      </c>
      <c r="DC6" s="4">
        <v>15123</v>
      </c>
      <c r="DD6" s="4">
        <v>15963</v>
      </c>
      <c r="DE6" s="4">
        <v>15706</v>
      </c>
      <c r="DF6" s="4">
        <v>15377</v>
      </c>
      <c r="DG6" s="4">
        <v>14863</v>
      </c>
      <c r="DH6" s="4">
        <v>15041</v>
      </c>
      <c r="DI6" s="4">
        <v>15507</v>
      </c>
      <c r="DJ6" s="4">
        <v>16175</v>
      </c>
      <c r="DK6" s="4">
        <v>16298</v>
      </c>
      <c r="DL6" s="4">
        <v>14672</v>
      </c>
      <c r="DM6" s="4">
        <v>13802</v>
      </c>
      <c r="DN6" s="4">
        <v>16226</v>
      </c>
      <c r="DO6" s="4">
        <v>13795</v>
      </c>
      <c r="DP6" s="4">
        <v>15616</v>
      </c>
      <c r="DQ6" s="4">
        <v>12492</v>
      </c>
    </row>
    <row r="7" spans="1:121" x14ac:dyDescent="0.25">
      <c r="A7" s="4" t="s">
        <v>5</v>
      </c>
      <c r="B7" s="4">
        <v>33</v>
      </c>
      <c r="C7" s="4">
        <v>169</v>
      </c>
      <c r="D7" s="4">
        <v>30</v>
      </c>
      <c r="E7" s="4">
        <v>1457</v>
      </c>
      <c r="F7" s="4">
        <v>63</v>
      </c>
      <c r="G7" s="4">
        <v>18</v>
      </c>
      <c r="H7" s="4">
        <v>674</v>
      </c>
      <c r="I7" s="4">
        <v>48</v>
      </c>
      <c r="J7" s="4">
        <v>23</v>
      </c>
      <c r="K7" s="4">
        <v>757</v>
      </c>
      <c r="L7" s="4">
        <v>85</v>
      </c>
      <c r="M7" s="4">
        <v>101</v>
      </c>
      <c r="N7" s="4">
        <v>2072</v>
      </c>
      <c r="O7" s="4">
        <v>22</v>
      </c>
      <c r="P7" s="4">
        <v>819</v>
      </c>
      <c r="Q7" s="4">
        <v>66</v>
      </c>
      <c r="R7" s="4">
        <v>149</v>
      </c>
      <c r="S7" s="4">
        <v>21</v>
      </c>
      <c r="T7" s="4">
        <v>75</v>
      </c>
      <c r="U7" s="4">
        <v>32</v>
      </c>
      <c r="V7" s="4">
        <v>1132</v>
      </c>
      <c r="W7" s="4">
        <v>153</v>
      </c>
      <c r="X7" s="4">
        <v>35</v>
      </c>
      <c r="Y7" s="4">
        <v>138</v>
      </c>
      <c r="Z7" s="4">
        <v>489</v>
      </c>
      <c r="AA7" s="4">
        <v>53</v>
      </c>
      <c r="AB7" s="4">
        <v>84</v>
      </c>
      <c r="AC7" s="4">
        <v>139</v>
      </c>
      <c r="AD7" s="4">
        <v>31</v>
      </c>
      <c r="AE7" s="4">
        <v>3593</v>
      </c>
      <c r="AF7" s="4">
        <v>64</v>
      </c>
      <c r="AG7" s="4">
        <v>81</v>
      </c>
      <c r="AH7" s="4">
        <v>519</v>
      </c>
      <c r="AI7" s="4">
        <v>24</v>
      </c>
      <c r="AJ7" s="4">
        <v>47</v>
      </c>
      <c r="AK7" s="4">
        <v>667</v>
      </c>
      <c r="AL7" s="4">
        <v>356</v>
      </c>
      <c r="AM7" s="4">
        <v>2968</v>
      </c>
      <c r="AN7" s="4">
        <v>74</v>
      </c>
      <c r="AO7" s="4">
        <v>103</v>
      </c>
      <c r="AP7" s="4">
        <v>38</v>
      </c>
      <c r="AQ7" s="4">
        <v>104</v>
      </c>
      <c r="AR7" s="4">
        <v>2399</v>
      </c>
      <c r="AS7" s="4">
        <v>59</v>
      </c>
      <c r="AT7" s="4">
        <v>604</v>
      </c>
      <c r="AU7" s="4">
        <v>311</v>
      </c>
      <c r="AV7" s="4">
        <v>31</v>
      </c>
      <c r="AW7" s="4">
        <v>23</v>
      </c>
      <c r="AX7" s="4">
        <v>42</v>
      </c>
      <c r="AY7" s="4">
        <v>187</v>
      </c>
      <c r="AZ7" s="4">
        <v>3487</v>
      </c>
      <c r="BA7" s="4">
        <v>64</v>
      </c>
      <c r="BB7" s="4">
        <v>436</v>
      </c>
      <c r="BC7" s="4">
        <v>406</v>
      </c>
      <c r="BD7" s="4">
        <v>55</v>
      </c>
      <c r="BE7" s="4">
        <v>23</v>
      </c>
      <c r="BF7" s="4">
        <v>3066</v>
      </c>
      <c r="BG7" s="4">
        <v>40</v>
      </c>
      <c r="BH7" s="4">
        <v>29</v>
      </c>
      <c r="BI7" s="4">
        <v>12</v>
      </c>
      <c r="BJ7" s="4">
        <v>110</v>
      </c>
      <c r="BK7" s="4">
        <v>157</v>
      </c>
      <c r="BL7" s="4">
        <v>92</v>
      </c>
      <c r="BM7" s="4">
        <v>1119</v>
      </c>
      <c r="BN7" s="4">
        <v>669</v>
      </c>
      <c r="BO7" s="4">
        <v>22</v>
      </c>
      <c r="BP7" s="4">
        <v>3517</v>
      </c>
      <c r="BQ7" s="4">
        <v>109</v>
      </c>
      <c r="BR7" s="4">
        <v>248</v>
      </c>
      <c r="BS7" s="4">
        <v>1121</v>
      </c>
      <c r="BT7" s="4">
        <v>121</v>
      </c>
      <c r="BU7" s="4">
        <v>150</v>
      </c>
      <c r="BV7" s="4">
        <v>6126</v>
      </c>
      <c r="BW7" s="4">
        <v>531</v>
      </c>
      <c r="BX7" s="4">
        <v>1652</v>
      </c>
      <c r="BY7" s="4">
        <v>64</v>
      </c>
      <c r="BZ7" s="4">
        <v>55</v>
      </c>
      <c r="CA7" s="4">
        <v>540</v>
      </c>
      <c r="CB7" s="4">
        <v>22</v>
      </c>
      <c r="CC7" s="4">
        <v>592</v>
      </c>
      <c r="CD7" s="4">
        <v>243</v>
      </c>
      <c r="CE7" s="4">
        <v>44</v>
      </c>
      <c r="CF7" s="4">
        <v>47</v>
      </c>
      <c r="CG7" s="4">
        <v>19</v>
      </c>
      <c r="CH7" s="4">
        <v>26</v>
      </c>
      <c r="CI7" s="4">
        <v>20</v>
      </c>
      <c r="CJ7" s="4">
        <v>279</v>
      </c>
      <c r="CK7" s="4">
        <v>21</v>
      </c>
      <c r="CL7" s="4">
        <v>89</v>
      </c>
      <c r="CM7" s="4">
        <v>90</v>
      </c>
      <c r="CN7" s="4">
        <v>14</v>
      </c>
      <c r="CO7" s="4">
        <v>21</v>
      </c>
      <c r="CP7" s="4">
        <v>485</v>
      </c>
      <c r="CQ7" s="4">
        <v>23</v>
      </c>
      <c r="CR7" s="4">
        <v>102</v>
      </c>
      <c r="CS7" s="4">
        <v>148</v>
      </c>
      <c r="CT7" s="4">
        <v>85</v>
      </c>
      <c r="CU7" s="4">
        <v>31</v>
      </c>
      <c r="CV7" s="4">
        <v>444</v>
      </c>
      <c r="CW7" s="4">
        <v>26</v>
      </c>
      <c r="CX7" s="4">
        <v>28</v>
      </c>
      <c r="CY7" s="4">
        <v>384</v>
      </c>
      <c r="CZ7" s="4">
        <v>22</v>
      </c>
      <c r="DA7" s="4">
        <v>68</v>
      </c>
      <c r="DB7" s="4">
        <v>4603</v>
      </c>
      <c r="DC7" s="4">
        <v>57</v>
      </c>
      <c r="DD7" s="4">
        <v>14</v>
      </c>
      <c r="DE7" s="4">
        <v>23</v>
      </c>
      <c r="DF7" s="4">
        <v>84</v>
      </c>
      <c r="DG7" s="4">
        <v>58</v>
      </c>
      <c r="DH7" s="4">
        <v>71</v>
      </c>
      <c r="DI7" s="4">
        <v>32</v>
      </c>
      <c r="DJ7" s="4">
        <v>43</v>
      </c>
      <c r="DK7" s="4">
        <v>124</v>
      </c>
      <c r="DL7" s="4">
        <v>29</v>
      </c>
      <c r="DM7" s="4">
        <v>5199</v>
      </c>
      <c r="DN7" s="4">
        <v>99</v>
      </c>
      <c r="DO7" s="4">
        <v>192</v>
      </c>
      <c r="DP7" s="4">
        <v>53</v>
      </c>
      <c r="DQ7" s="4">
        <v>73</v>
      </c>
    </row>
    <row r="8" spans="1:121" x14ac:dyDescent="0.25">
      <c r="A8" s="4" t="s">
        <v>6</v>
      </c>
      <c r="B8" s="4">
        <v>13393</v>
      </c>
      <c r="C8" s="4">
        <v>6133</v>
      </c>
      <c r="D8" s="4">
        <v>8084</v>
      </c>
      <c r="E8" s="4">
        <v>13921</v>
      </c>
      <c r="F8" s="4">
        <v>29968</v>
      </c>
      <c r="G8" s="4">
        <v>14526</v>
      </c>
      <c r="H8" s="4">
        <v>28565</v>
      </c>
      <c r="I8" s="4">
        <v>8086</v>
      </c>
      <c r="J8" s="4">
        <v>12867</v>
      </c>
      <c r="K8" s="4">
        <v>17732</v>
      </c>
      <c r="L8" s="4">
        <v>30570</v>
      </c>
      <c r="M8" s="4">
        <v>5713</v>
      </c>
      <c r="N8" s="4">
        <v>16508</v>
      </c>
      <c r="O8" s="4">
        <v>13965</v>
      </c>
      <c r="P8" s="4">
        <v>29074</v>
      </c>
      <c r="Q8" s="4">
        <v>6573</v>
      </c>
      <c r="R8" s="4">
        <v>30748</v>
      </c>
      <c r="S8" s="4">
        <v>9766</v>
      </c>
      <c r="T8" s="4">
        <v>6763</v>
      </c>
      <c r="U8" s="4">
        <v>8895</v>
      </c>
      <c r="V8" s="4">
        <v>7904</v>
      </c>
      <c r="W8" s="4">
        <v>6508</v>
      </c>
      <c r="X8" s="4">
        <v>8726</v>
      </c>
      <c r="Y8" s="4">
        <v>6386</v>
      </c>
      <c r="Z8" s="4">
        <v>33695</v>
      </c>
      <c r="AA8" s="4">
        <v>7198</v>
      </c>
      <c r="AB8" s="4">
        <v>10563</v>
      </c>
      <c r="AC8" s="4">
        <v>9937</v>
      </c>
      <c r="AD8" s="4">
        <v>10998</v>
      </c>
      <c r="AE8" s="4">
        <v>11197</v>
      </c>
      <c r="AF8" s="4">
        <v>6932</v>
      </c>
      <c r="AG8" s="4">
        <v>8751</v>
      </c>
      <c r="AH8" s="4">
        <v>30054</v>
      </c>
      <c r="AI8" s="4">
        <v>8318</v>
      </c>
      <c r="AJ8" s="4">
        <v>9701</v>
      </c>
      <c r="AK8" s="4">
        <v>8268</v>
      </c>
      <c r="AL8" s="4">
        <v>33552</v>
      </c>
      <c r="AM8" s="4">
        <v>28676</v>
      </c>
      <c r="AN8" s="4">
        <v>6583</v>
      </c>
      <c r="AO8" s="4">
        <v>29722</v>
      </c>
      <c r="AP8" s="4">
        <v>7664</v>
      </c>
      <c r="AQ8" s="4">
        <v>29509</v>
      </c>
      <c r="AR8" s="4">
        <v>31218</v>
      </c>
      <c r="AS8" s="4">
        <v>5712</v>
      </c>
      <c r="AT8" s="4">
        <v>32236</v>
      </c>
      <c r="AU8" s="4">
        <v>30334</v>
      </c>
      <c r="AV8" s="4">
        <v>8465</v>
      </c>
      <c r="AW8" s="4">
        <v>8786</v>
      </c>
      <c r="AX8" s="4">
        <v>8100</v>
      </c>
      <c r="AY8" s="4">
        <v>8463</v>
      </c>
      <c r="AZ8" s="4">
        <v>32498</v>
      </c>
      <c r="BA8" s="4">
        <v>26887</v>
      </c>
      <c r="BB8" s="4">
        <v>33573</v>
      </c>
      <c r="BC8" s="4">
        <v>29738</v>
      </c>
      <c r="BD8" s="4">
        <v>8627</v>
      </c>
      <c r="BE8" s="4">
        <v>12219</v>
      </c>
      <c r="BF8" s="4">
        <v>8542</v>
      </c>
      <c r="BG8" s="4">
        <v>9761</v>
      </c>
      <c r="BH8" s="4">
        <v>12829</v>
      </c>
      <c r="BI8" s="4">
        <v>7923</v>
      </c>
      <c r="BJ8" s="4">
        <v>6388</v>
      </c>
      <c r="BK8" s="4">
        <v>24034</v>
      </c>
      <c r="BL8" s="4">
        <v>31049</v>
      </c>
      <c r="BM8" s="4">
        <v>9406</v>
      </c>
      <c r="BN8" s="4">
        <v>31995</v>
      </c>
      <c r="BO8" s="4">
        <v>10144</v>
      </c>
      <c r="BP8" s="4">
        <v>30092</v>
      </c>
      <c r="BQ8" s="4">
        <v>19582</v>
      </c>
      <c r="BR8" s="4">
        <v>29974</v>
      </c>
      <c r="BS8" s="4">
        <v>32169</v>
      </c>
      <c r="BT8" s="4">
        <v>6648</v>
      </c>
      <c r="BU8" s="4">
        <v>25160</v>
      </c>
      <c r="BV8" s="4">
        <v>15132</v>
      </c>
      <c r="BW8" s="4">
        <v>32145</v>
      </c>
      <c r="BX8" s="4">
        <v>34914</v>
      </c>
      <c r="BY8" s="4">
        <v>30859</v>
      </c>
      <c r="BZ8" s="4">
        <v>7682</v>
      </c>
      <c r="CA8" s="4">
        <v>33202</v>
      </c>
      <c r="CB8" s="4">
        <v>13139</v>
      </c>
      <c r="CC8" s="4">
        <v>34687</v>
      </c>
      <c r="CD8" s="4">
        <v>25162</v>
      </c>
      <c r="CE8" s="4">
        <v>13221</v>
      </c>
      <c r="CF8" s="4">
        <v>7663</v>
      </c>
      <c r="CG8" s="4">
        <v>10151</v>
      </c>
      <c r="CH8" s="4">
        <v>7988</v>
      </c>
      <c r="CI8" s="4">
        <v>11027</v>
      </c>
      <c r="CJ8" s="4">
        <v>13882</v>
      </c>
      <c r="CK8" s="4">
        <v>10919</v>
      </c>
      <c r="CL8" s="4">
        <v>7552</v>
      </c>
      <c r="CM8" s="4">
        <v>6851</v>
      </c>
      <c r="CN8" s="4">
        <v>10588</v>
      </c>
      <c r="CO8" s="4">
        <v>10364</v>
      </c>
      <c r="CP8" s="4">
        <v>39891</v>
      </c>
      <c r="CQ8" s="4">
        <v>11955</v>
      </c>
      <c r="CR8" s="4">
        <v>6499</v>
      </c>
      <c r="CS8" s="4">
        <v>14226</v>
      </c>
      <c r="CT8" s="4">
        <v>17058</v>
      </c>
      <c r="CU8" s="4">
        <v>7746</v>
      </c>
      <c r="CV8" s="4">
        <v>37773</v>
      </c>
      <c r="CW8" s="4">
        <v>7586</v>
      </c>
      <c r="CX8" s="4">
        <v>8755</v>
      </c>
      <c r="CY8" s="4">
        <v>33038</v>
      </c>
      <c r="CZ8" s="4">
        <v>17771</v>
      </c>
      <c r="DA8" s="4">
        <v>28990</v>
      </c>
      <c r="DB8" s="4">
        <v>26152</v>
      </c>
      <c r="DC8" s="4">
        <v>13404</v>
      </c>
      <c r="DD8" s="4">
        <v>8255</v>
      </c>
      <c r="DE8" s="4">
        <v>16642</v>
      </c>
      <c r="DF8" s="4">
        <v>30734</v>
      </c>
      <c r="DG8" s="4">
        <v>30278</v>
      </c>
      <c r="DH8" s="4">
        <v>13681</v>
      </c>
      <c r="DI8" s="4">
        <v>8100</v>
      </c>
      <c r="DJ8" s="4">
        <v>30185</v>
      </c>
      <c r="DK8" s="4">
        <v>6046</v>
      </c>
      <c r="DL8" s="4">
        <v>11619</v>
      </c>
      <c r="DM8" s="4">
        <v>11514</v>
      </c>
      <c r="DN8" s="4">
        <v>7452</v>
      </c>
      <c r="DO8" s="4">
        <v>32687</v>
      </c>
      <c r="DP8" s="4">
        <v>5570</v>
      </c>
      <c r="DQ8" s="4">
        <v>13077</v>
      </c>
    </row>
  </sheetData>
  <pageMargins left="0.7" right="0.7"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C713A-C3DE-4A75-95B2-B556E9B6D18C}">
  <sheetPr codeName="Sheet4"/>
  <dimension ref="A1:N121"/>
  <sheetViews>
    <sheetView workbookViewId="0">
      <selection activeCell="K2" sqref="K2"/>
    </sheetView>
  </sheetViews>
  <sheetFormatPr defaultRowHeight="15" x14ac:dyDescent="0.25"/>
  <cols>
    <col min="1" max="1" width="15.42578125" bestFit="1" customWidth="1"/>
    <col min="2" max="2" width="12" customWidth="1"/>
    <col min="3" max="3" width="11.7109375" customWidth="1"/>
    <col min="4" max="4" width="6.85546875" customWidth="1"/>
    <col min="5" max="5" width="11.28515625" customWidth="1"/>
    <col min="6" max="6" width="11" customWidth="1"/>
    <col min="7" max="7" width="13.140625" customWidth="1"/>
    <col min="8" max="8" width="17.5703125" style="6" bestFit="1" customWidth="1"/>
    <col min="9" max="9" width="19.140625" bestFit="1" customWidth="1"/>
    <col min="10" max="10" width="11.85546875" bestFit="1" customWidth="1"/>
    <col min="12" max="12" width="11.42578125" bestFit="1" customWidth="1"/>
    <col min="13" max="13" width="13.5703125" bestFit="1" customWidth="1"/>
    <col min="14" max="14" width="15.140625" bestFit="1" customWidth="1"/>
  </cols>
  <sheetData>
    <row r="1" spans="1:14" x14ac:dyDescent="0.25">
      <c r="A1" s="4" t="s">
        <v>0</v>
      </c>
      <c r="B1" s="4" t="s">
        <v>1</v>
      </c>
      <c r="C1" s="4" t="s">
        <v>2</v>
      </c>
      <c r="D1" s="4" t="s">
        <v>3</v>
      </c>
      <c r="E1" s="4" t="s">
        <v>4</v>
      </c>
      <c r="F1" s="4" t="s">
        <v>5</v>
      </c>
      <c r="G1" s="4" t="s">
        <v>6</v>
      </c>
      <c r="H1" s="5" t="s">
        <v>248</v>
      </c>
      <c r="I1" s="4" t="s">
        <v>249</v>
      </c>
      <c r="J1" s="4" t="s">
        <v>251</v>
      </c>
      <c r="K1" s="4" t="s">
        <v>254</v>
      </c>
      <c r="L1" s="4" t="s">
        <v>255</v>
      </c>
      <c r="M1" s="4" t="s">
        <v>252</v>
      </c>
      <c r="N1" s="4" t="s">
        <v>253</v>
      </c>
    </row>
    <row r="2" spans="1:14" x14ac:dyDescent="0.25">
      <c r="A2" s="4" t="s">
        <v>221</v>
      </c>
      <c r="B2" s="4">
        <v>0.46760000000000002</v>
      </c>
      <c r="C2" s="4">
        <v>9303</v>
      </c>
      <c r="D2" s="4">
        <v>1.85</v>
      </c>
      <c r="E2" s="4">
        <v>15377</v>
      </c>
      <c r="F2" s="4">
        <v>84</v>
      </c>
      <c r="G2" s="4">
        <v>30734</v>
      </c>
      <c r="H2" s="5">
        <f>Table3[[#This Row],[MATCHES]]*Table3[[#This Row],[WIN RATE]]</f>
        <v>4350.0828000000001</v>
      </c>
      <c r="I2" s="5">
        <f>Table3[[#This Row],[MATCHES]]-Table3[[#This Row],[Number of wins]]</f>
        <v>4952.9171999999999</v>
      </c>
      <c r="J2" s="4" t="str">
        <f>VLOOKUP(Table3[[#This Row],[GOD]],' Raw Data for God Type'!A:I,2)</f>
        <v>Greek</v>
      </c>
      <c r="K2" s="4" t="str">
        <f>VLOOKUP(Table3[[#This Row],[GOD]],' Raw Data for God Type'!A:I,5)</f>
        <v>Warrior</v>
      </c>
      <c r="L2" s="4" t="str">
        <f>VLOOKUP(Table3[[#This Row],[GOD]],' Raw Data for God Type'!A:I,6)</f>
        <v>Average</v>
      </c>
      <c r="M2" s="4" t="str">
        <f>VLOOKUP(Table3[[#This Row],[GOD]],' Raw Data for God Type'!A:I,3)</f>
        <v>Melee</v>
      </c>
      <c r="N2" s="4" t="str">
        <f>VLOOKUP(Table3[[#This Row],[GOD]],' Raw Data for God Type'!A:I,4)</f>
        <v>Physical</v>
      </c>
    </row>
    <row r="3" spans="1:14" x14ac:dyDescent="0.25">
      <c r="A3" s="4" t="s">
        <v>50</v>
      </c>
      <c r="B3" s="4">
        <v>0.53039999999999998</v>
      </c>
      <c r="C3" s="4">
        <v>5850</v>
      </c>
      <c r="D3" s="4">
        <v>1.64</v>
      </c>
      <c r="E3" s="4">
        <v>19601</v>
      </c>
      <c r="F3" s="4">
        <v>153</v>
      </c>
      <c r="G3" s="4">
        <v>6508</v>
      </c>
      <c r="H3" s="5">
        <f>Table3[[#This Row],[MATCHES]]*Table3[[#This Row],[WIN RATE]]</f>
        <v>3102.8399999999997</v>
      </c>
      <c r="I3" s="5">
        <f>Table3[[#This Row],[MATCHES]]-Table3[[#This Row],[Number of wins]]</f>
        <v>2747.1600000000003</v>
      </c>
      <c r="J3" s="4" t="str">
        <f>VLOOKUP(Table3[[#This Row],[GOD]],' Raw Data for God Type'!A:I,2)</f>
        <v>Hindu</v>
      </c>
      <c r="K3" s="4" t="str">
        <f>VLOOKUP(Table3[[#This Row],[GOD]],' Raw Data for God Type'!A:I,5)</f>
        <v>Mage</v>
      </c>
      <c r="L3" s="4" t="str">
        <f>VLOOKUP(Table3[[#This Row],[GOD]],' Raw Data for God Type'!A:I,6)</f>
        <v>Hard</v>
      </c>
      <c r="M3" s="4" t="str">
        <f>VLOOKUP(Table3[[#This Row],[GOD]],' Raw Data for God Type'!A:I,3)</f>
        <v>Ranged</v>
      </c>
      <c r="N3" s="4" t="str">
        <f>VLOOKUP(Table3[[#This Row],[GOD]],' Raw Data for God Type'!A:I,4)</f>
        <v>Magical</v>
      </c>
    </row>
    <row r="4" spans="1:14" x14ac:dyDescent="0.25">
      <c r="A4" s="4" t="s">
        <v>100</v>
      </c>
      <c r="B4" s="4">
        <v>0.51049999999999995</v>
      </c>
      <c r="C4" s="4">
        <v>8560</v>
      </c>
      <c r="D4" s="4">
        <v>1.55</v>
      </c>
      <c r="E4" s="4">
        <v>18703</v>
      </c>
      <c r="F4" s="4">
        <v>31</v>
      </c>
      <c r="G4" s="4">
        <v>8465</v>
      </c>
      <c r="H4" s="5">
        <f>Table3[[#This Row],[MATCHES]]*Table3[[#This Row],[WIN RATE]]</f>
        <v>4369.8799999999992</v>
      </c>
      <c r="I4" s="5">
        <f>Table3[[#This Row],[MATCHES]]-Table3[[#This Row],[Number of wins]]</f>
        <v>4190.1200000000008</v>
      </c>
      <c r="J4" s="4" t="str">
        <f>VLOOKUP(Table3[[#This Row],[GOD]],' Raw Data for God Type'!A:I,2)</f>
        <v>Maya</v>
      </c>
      <c r="K4" s="4" t="str">
        <f>VLOOKUP(Table3[[#This Row],[GOD]],' Raw Data for God Type'!A:I,5)</f>
        <v>Hunter</v>
      </c>
      <c r="L4" s="4" t="str">
        <f>VLOOKUP(Table3[[#This Row],[GOD]],' Raw Data for God Type'!A:I,6)</f>
        <v>Average</v>
      </c>
      <c r="M4" s="4" t="str">
        <f>VLOOKUP(Table3[[#This Row],[GOD]],' Raw Data for God Type'!A:I,3)</f>
        <v>Ranged</v>
      </c>
      <c r="N4" s="4" t="str">
        <f>VLOOKUP(Table3[[#This Row],[GOD]],' Raw Data for God Type'!A:I,4)</f>
        <v>Physical</v>
      </c>
    </row>
    <row r="5" spans="1:14" x14ac:dyDescent="0.25">
      <c r="A5" s="4" t="s">
        <v>62</v>
      </c>
      <c r="B5" s="4">
        <v>0.52629999999999999</v>
      </c>
      <c r="C5" s="4">
        <v>4138</v>
      </c>
      <c r="D5" s="4">
        <v>1.65</v>
      </c>
      <c r="E5" s="4">
        <v>20598</v>
      </c>
      <c r="F5" s="4">
        <v>139</v>
      </c>
      <c r="G5" s="4">
        <v>9937</v>
      </c>
      <c r="H5" s="5">
        <f>Table3[[#This Row],[MATCHES]]*Table3[[#This Row],[WIN RATE]]</f>
        <v>2177.8294000000001</v>
      </c>
      <c r="I5" s="5">
        <f>Table3[[#This Row],[MATCHES]]-Table3[[#This Row],[Number of wins]]</f>
        <v>1960.1705999999999</v>
      </c>
      <c r="J5" s="4" t="str">
        <f>VLOOKUP(Table3[[#This Row],[GOD]],' Raw Data for God Type'!A:I,2)</f>
        <v>Maya</v>
      </c>
      <c r="K5" s="4" t="str">
        <f>VLOOKUP(Table3[[#This Row],[GOD]],' Raw Data for God Type'!A:I,5)</f>
        <v>Mage</v>
      </c>
      <c r="L5" s="4" t="str">
        <f>VLOOKUP(Table3[[#This Row],[GOD]],' Raw Data for God Type'!A:I,6)</f>
        <v>Average</v>
      </c>
      <c r="M5" s="4" t="str">
        <f>VLOOKUP(Table3[[#This Row],[GOD]],' Raw Data for God Type'!A:I,3)</f>
        <v>Ranged</v>
      </c>
      <c r="N5" s="4" t="str">
        <f>VLOOKUP(Table3[[#This Row],[GOD]],' Raw Data for God Type'!A:I,4)</f>
        <v>Magical</v>
      </c>
    </row>
    <row r="6" spans="1:14" x14ac:dyDescent="0.25">
      <c r="A6" s="4" t="s">
        <v>40</v>
      </c>
      <c r="B6" s="4">
        <v>0.53449999999999998</v>
      </c>
      <c r="C6" s="4">
        <v>7309</v>
      </c>
      <c r="D6" s="4">
        <v>1.93</v>
      </c>
      <c r="E6" s="4">
        <v>14947</v>
      </c>
      <c r="F6" s="4">
        <v>149</v>
      </c>
      <c r="G6" s="4">
        <v>30748</v>
      </c>
      <c r="H6" s="5">
        <f>Table3[[#This Row],[MATCHES]]*Table3[[#This Row],[WIN RATE]]</f>
        <v>3906.6605</v>
      </c>
      <c r="I6" s="5">
        <f>Table3[[#This Row],[MATCHES]]-Table3[[#This Row],[Number of wins]]</f>
        <v>3402.3395</v>
      </c>
      <c r="J6" s="4" t="str">
        <f>VLOOKUP(Table3[[#This Row],[GOD]],' Raw Data for God Type'!A:I,2)</f>
        <v>Japanese</v>
      </c>
      <c r="K6" s="4" t="str">
        <f>VLOOKUP(Table3[[#This Row],[GOD]],' Raw Data for God Type'!A:I,5)</f>
        <v>Warrior</v>
      </c>
      <c r="L6" s="4" t="str">
        <f>VLOOKUP(Table3[[#This Row],[GOD]],' Raw Data for God Type'!A:I,6)</f>
        <v>Average</v>
      </c>
      <c r="M6" s="4" t="str">
        <f>VLOOKUP(Table3[[#This Row],[GOD]],' Raw Data for God Type'!A:I,3)</f>
        <v>Melee</v>
      </c>
      <c r="N6" s="4" t="str">
        <f>VLOOKUP(Table3[[#This Row],[GOD]],' Raw Data for God Type'!A:I,4)</f>
        <v>Physical</v>
      </c>
    </row>
    <row r="7" spans="1:14" x14ac:dyDescent="0.25">
      <c r="A7" s="4" t="s">
        <v>227</v>
      </c>
      <c r="B7" s="4">
        <v>0.46179999999999999</v>
      </c>
      <c r="C7" s="4">
        <v>7244</v>
      </c>
      <c r="D7" s="4">
        <v>1.48</v>
      </c>
      <c r="E7" s="4">
        <v>15507</v>
      </c>
      <c r="F7" s="4">
        <v>32</v>
      </c>
      <c r="G7" s="4">
        <v>8100</v>
      </c>
      <c r="H7" s="5">
        <f>Table3[[#This Row],[MATCHES]]*Table3[[#This Row],[WIN RATE]]</f>
        <v>3345.2791999999999</v>
      </c>
      <c r="I7" s="5">
        <f>Table3[[#This Row],[MATCHES]]-Table3[[#This Row],[Number of wins]]</f>
        <v>3898.7208000000001</v>
      </c>
      <c r="J7" s="4" t="str">
        <f>VLOOKUP(Table3[[#This Row],[GOD]],' Raw Data for God Type'!A:I,2)</f>
        <v>Egyptian</v>
      </c>
      <c r="K7" s="4" t="str">
        <f>VLOOKUP(Table3[[#This Row],[GOD]],' Raw Data for God Type'!A:I,5)</f>
        <v>Hunter</v>
      </c>
      <c r="L7" s="4" t="str">
        <f>VLOOKUP(Table3[[#This Row],[GOD]],' Raw Data for God Type'!A:I,6)</f>
        <v>Average</v>
      </c>
      <c r="M7" s="4" t="str">
        <f>VLOOKUP(Table3[[#This Row],[GOD]],' Raw Data for God Type'!A:I,3)</f>
        <v>Ranged</v>
      </c>
      <c r="N7" s="4" t="str">
        <f>VLOOKUP(Table3[[#This Row],[GOD]],' Raw Data for God Type'!A:I,4)</f>
        <v>Physical</v>
      </c>
    </row>
    <row r="8" spans="1:14" x14ac:dyDescent="0.25">
      <c r="A8" s="4" t="s">
        <v>60</v>
      </c>
      <c r="B8" s="4">
        <v>0.52690000000000003</v>
      </c>
      <c r="C8" s="4">
        <v>10571</v>
      </c>
      <c r="D8" s="4">
        <v>1.56</v>
      </c>
      <c r="E8" s="4">
        <v>18020</v>
      </c>
      <c r="F8" s="4">
        <v>84</v>
      </c>
      <c r="G8" s="4">
        <v>10563</v>
      </c>
      <c r="H8" s="5">
        <f>Table3[[#This Row],[MATCHES]]*Table3[[#This Row],[WIN RATE]]</f>
        <v>5569.8599000000004</v>
      </c>
      <c r="I8" s="5">
        <f>Table3[[#This Row],[MATCHES]]-Table3[[#This Row],[Number of wins]]</f>
        <v>5001.1400999999996</v>
      </c>
      <c r="J8" s="4" t="str">
        <f>VLOOKUP(Table3[[#This Row],[GOD]],' Raw Data for God Type'!A:I,2)</f>
        <v>Egyptian</v>
      </c>
      <c r="K8" s="4" t="str">
        <f>VLOOKUP(Table3[[#This Row],[GOD]],' Raw Data for God Type'!A:I,5)</f>
        <v>Mage</v>
      </c>
      <c r="L8" s="4" t="str">
        <f>VLOOKUP(Table3[[#This Row],[GOD]],' Raw Data for God Type'!A:I,6)</f>
        <v>Easy</v>
      </c>
      <c r="M8" s="4" t="str">
        <f>VLOOKUP(Table3[[#This Row],[GOD]],' Raw Data for God Type'!A:I,3)</f>
        <v>Ranged</v>
      </c>
      <c r="N8" s="4" t="str">
        <f>VLOOKUP(Table3[[#This Row],[GOD]],' Raw Data for God Type'!A:I,4)</f>
        <v>Magical</v>
      </c>
    </row>
    <row r="9" spans="1:14" x14ac:dyDescent="0.25">
      <c r="A9" s="4" t="s">
        <v>167</v>
      </c>
      <c r="B9" s="4">
        <v>0.4945</v>
      </c>
      <c r="C9" s="4">
        <v>9007</v>
      </c>
      <c r="D9" s="4">
        <v>1.93</v>
      </c>
      <c r="E9" s="4">
        <v>16255</v>
      </c>
      <c r="F9" s="4">
        <v>44</v>
      </c>
      <c r="G9" s="4">
        <v>13221</v>
      </c>
      <c r="H9" s="5">
        <f>Table3[[#This Row],[MATCHES]]*Table3[[#This Row],[WIN RATE]]</f>
        <v>4453.9615000000003</v>
      </c>
      <c r="I9" s="5">
        <f>Table3[[#This Row],[MATCHES]]-Table3[[#This Row],[Number of wins]]</f>
        <v>4553.0384999999997</v>
      </c>
      <c r="J9" s="4" t="str">
        <f>VLOOKUP(Table3[[#This Row],[GOD]],' Raw Data for God Type'!A:I,2)</f>
        <v>Chinese</v>
      </c>
      <c r="K9" s="4" t="str">
        <f>VLOOKUP(Table3[[#This Row],[GOD]],' Raw Data for God Type'!A:I,5)</f>
        <v>Mage</v>
      </c>
      <c r="L9" s="4" t="str">
        <f>VLOOKUP(Table3[[#This Row],[GOD]],' Raw Data for God Type'!A:I,6)</f>
        <v>Hard</v>
      </c>
      <c r="M9" s="4" t="str">
        <f>VLOOKUP(Table3[[#This Row],[GOD]],' Raw Data for God Type'!A:I,3)</f>
        <v>Melee</v>
      </c>
      <c r="N9" s="4" t="str">
        <f>VLOOKUP(Table3[[#This Row],[GOD]],' Raw Data for God Type'!A:I,4)</f>
        <v>Magical</v>
      </c>
    </row>
    <row r="10" spans="1:14" x14ac:dyDescent="0.25">
      <c r="A10" s="4" t="s">
        <v>149</v>
      </c>
      <c r="B10" s="4">
        <v>0.49940000000000001</v>
      </c>
      <c r="C10" s="4">
        <v>6476</v>
      </c>
      <c r="D10" s="4">
        <v>1.5</v>
      </c>
      <c r="E10" s="4">
        <v>11612</v>
      </c>
      <c r="F10" s="4">
        <v>6126</v>
      </c>
      <c r="G10" s="4">
        <v>15132</v>
      </c>
      <c r="H10" s="5">
        <f>Table3[[#This Row],[MATCHES]]*Table3[[#This Row],[WIN RATE]]</f>
        <v>3234.1143999999999</v>
      </c>
      <c r="I10" s="5">
        <f>Table3[[#This Row],[MATCHES]]-Table3[[#This Row],[Number of wins]]</f>
        <v>3241.8856000000001</v>
      </c>
      <c r="J10" s="4" t="str">
        <f>VLOOKUP(Table3[[#This Row],[GOD]],' Raw Data for God Type'!A:I,2)</f>
        <v>Greek</v>
      </c>
      <c r="K10" s="4" t="str">
        <f>VLOOKUP(Table3[[#This Row],[GOD]],' Raw Data for God Type'!A:I,5)</f>
        <v>Mage</v>
      </c>
      <c r="L10" s="4" t="str">
        <f>VLOOKUP(Table3[[#This Row],[GOD]],' Raw Data for God Type'!A:I,6)</f>
        <v>Hard</v>
      </c>
      <c r="M10" s="4" t="str">
        <f>VLOOKUP(Table3[[#This Row],[GOD]],' Raw Data for God Type'!A:I,3)</f>
        <v>Ranged</v>
      </c>
      <c r="N10" s="4" t="str">
        <f>VLOOKUP(Table3[[#This Row],[GOD]],' Raw Data for God Type'!A:I,4)</f>
        <v>Magical</v>
      </c>
    </row>
    <row r="11" spans="1:14" x14ac:dyDescent="0.25">
      <c r="A11" s="4" t="s">
        <v>102</v>
      </c>
      <c r="B11" s="4">
        <v>0.51019999999999999</v>
      </c>
      <c r="C11" s="4">
        <v>11716</v>
      </c>
      <c r="D11" s="4">
        <v>1.66</v>
      </c>
      <c r="E11" s="4">
        <v>16399</v>
      </c>
      <c r="F11" s="4">
        <v>23</v>
      </c>
      <c r="G11" s="4">
        <v>8786</v>
      </c>
      <c r="H11" s="5">
        <f>Table3[[#This Row],[MATCHES]]*Table3[[#This Row],[WIN RATE]]</f>
        <v>5977.5032000000001</v>
      </c>
      <c r="I11" s="5">
        <f>Table3[[#This Row],[MATCHES]]-Table3[[#This Row],[Number of wins]]</f>
        <v>5738.4967999999999</v>
      </c>
      <c r="J11" s="4" t="str">
        <f>VLOOKUP(Table3[[#This Row],[GOD]],' Raw Data for God Type'!A:I,2)</f>
        <v>Greek</v>
      </c>
      <c r="K11" s="4" t="str">
        <f>VLOOKUP(Table3[[#This Row],[GOD]],' Raw Data for God Type'!A:I,5)</f>
        <v>Hunter</v>
      </c>
      <c r="L11" s="4" t="str">
        <f>VLOOKUP(Table3[[#This Row],[GOD]],' Raw Data for God Type'!A:I,6)</f>
        <v>Easy</v>
      </c>
      <c r="M11" s="4" t="str">
        <f>VLOOKUP(Table3[[#This Row],[GOD]],' Raw Data for God Type'!A:I,3)</f>
        <v>Ranged</v>
      </c>
      <c r="N11" s="4" t="str">
        <f>VLOOKUP(Table3[[#This Row],[GOD]],' Raw Data for God Type'!A:I,4)</f>
        <v>Physical</v>
      </c>
    </row>
    <row r="12" spans="1:14" x14ac:dyDescent="0.25">
      <c r="A12" s="4" t="s">
        <v>8</v>
      </c>
      <c r="B12" s="4">
        <v>0.56599999999999995</v>
      </c>
      <c r="C12" s="4">
        <v>14234</v>
      </c>
      <c r="D12" s="4">
        <v>2.15</v>
      </c>
      <c r="E12" s="4">
        <v>17094</v>
      </c>
      <c r="F12" s="4">
        <v>33</v>
      </c>
      <c r="G12" s="4">
        <v>13393</v>
      </c>
      <c r="H12" s="5">
        <f>Table3[[#This Row],[MATCHES]]*Table3[[#This Row],[WIN RATE]]</f>
        <v>8056.4439999999995</v>
      </c>
      <c r="I12" s="5">
        <f>Table3[[#This Row],[MATCHES]]-Table3[[#This Row],[Number of wins]]</f>
        <v>6177.5560000000005</v>
      </c>
      <c r="J12" s="4" t="str">
        <f>VLOOKUP(Table3[[#This Row],[GOD]],' Raw Data for God Type'!A:I,2)</f>
        <v>Greek</v>
      </c>
      <c r="K12" s="4" t="str">
        <f>VLOOKUP(Table3[[#This Row],[GOD]],' Raw Data for God Type'!A:I,5)</f>
        <v>Assassin</v>
      </c>
      <c r="L12" s="4" t="str">
        <f>VLOOKUP(Table3[[#This Row],[GOD]],' Raw Data for God Type'!A:I,6)</f>
        <v>Average</v>
      </c>
      <c r="M12" s="4" t="str">
        <f>VLOOKUP(Table3[[#This Row],[GOD]],' Raw Data for God Type'!A:I,3)</f>
        <v>Melee</v>
      </c>
      <c r="N12" s="4" t="str">
        <f>VLOOKUP(Table3[[#This Row],[GOD]],' Raw Data for God Type'!A:I,4)</f>
        <v>Physical</v>
      </c>
    </row>
    <row r="13" spans="1:14" x14ac:dyDescent="0.25">
      <c r="A13" s="4" t="s">
        <v>80</v>
      </c>
      <c r="B13" s="4">
        <v>0.51570000000000005</v>
      </c>
      <c r="C13" s="4">
        <v>12009</v>
      </c>
      <c r="D13" s="4">
        <v>1.71</v>
      </c>
      <c r="E13" s="4">
        <v>12066</v>
      </c>
      <c r="F13" s="4">
        <v>356</v>
      </c>
      <c r="G13" s="4">
        <v>33552</v>
      </c>
      <c r="H13" s="5">
        <f>Table3[[#This Row],[MATCHES]]*Table3[[#This Row],[WIN RATE]]</f>
        <v>6193.0413000000008</v>
      </c>
      <c r="I13" s="5">
        <f>Table3[[#This Row],[MATCHES]]-Table3[[#This Row],[Number of wins]]</f>
        <v>5815.9586999999992</v>
      </c>
      <c r="J13" s="4" t="str">
        <f>VLOOKUP(Table3[[#This Row],[GOD]],' Raw Data for God Type'!A:I,2)</f>
        <v>Greek</v>
      </c>
      <c r="K13" s="4" t="str">
        <f>VLOOKUP(Table3[[#This Row],[GOD]],' Raw Data for God Type'!A:I,5)</f>
        <v>Guardian</v>
      </c>
      <c r="L13" s="4" t="str">
        <f>VLOOKUP(Table3[[#This Row],[GOD]],' Raw Data for God Type'!A:I,6)</f>
        <v>Easy</v>
      </c>
      <c r="M13" s="4" t="str">
        <f>VLOOKUP(Table3[[#This Row],[GOD]],' Raw Data for God Type'!A:I,3)</f>
        <v>Melee</v>
      </c>
      <c r="N13" s="4" t="str">
        <f>VLOOKUP(Table3[[#This Row],[GOD]],' Raw Data for God Type'!A:I,4)</f>
        <v>Magical</v>
      </c>
    </row>
    <row r="14" spans="1:14" x14ac:dyDescent="0.25">
      <c r="A14" s="4" t="s">
        <v>22</v>
      </c>
      <c r="B14" s="4">
        <v>0.5423</v>
      </c>
      <c r="C14" s="4">
        <v>11062</v>
      </c>
      <c r="D14" s="4">
        <v>1.56</v>
      </c>
      <c r="E14" s="4">
        <v>19800</v>
      </c>
      <c r="F14" s="4">
        <v>48</v>
      </c>
      <c r="G14" s="4">
        <v>8086</v>
      </c>
      <c r="H14" s="5">
        <f>Table3[[#This Row],[MATCHES]]*Table3[[#This Row],[WIN RATE]]</f>
        <v>5998.9225999999999</v>
      </c>
      <c r="I14" s="5">
        <f>Table3[[#This Row],[MATCHES]]-Table3[[#This Row],[Number of wins]]</f>
        <v>5063.0774000000001</v>
      </c>
      <c r="J14" s="4" t="str">
        <f>VLOOKUP(Table3[[#This Row],[GOD]],' Raw Data for God Type'!A:I,2)</f>
        <v>Greek</v>
      </c>
      <c r="K14" s="4" t="str">
        <f>VLOOKUP(Table3[[#This Row],[GOD]],' Raw Data for God Type'!A:I,5)</f>
        <v>Hunter</v>
      </c>
      <c r="L14" s="4" t="str">
        <f>VLOOKUP(Table3[[#This Row],[GOD]],' Raw Data for God Type'!A:I,6)</f>
        <v>Average</v>
      </c>
      <c r="M14" s="4" t="str">
        <f>VLOOKUP(Table3[[#This Row],[GOD]],' Raw Data for God Type'!A:I,3)</f>
        <v>Ranged</v>
      </c>
      <c r="N14" s="4" t="str">
        <f>VLOOKUP(Table3[[#This Row],[GOD]],' Raw Data for God Type'!A:I,4)</f>
        <v>Physical</v>
      </c>
    </row>
    <row r="15" spans="1:14" x14ac:dyDescent="0.25">
      <c r="A15" s="4" t="s">
        <v>153</v>
      </c>
      <c r="B15" s="4">
        <v>0.49809999999999999</v>
      </c>
      <c r="C15" s="4">
        <v>6780</v>
      </c>
      <c r="D15" s="4">
        <v>1.71</v>
      </c>
      <c r="E15" s="4">
        <v>10690</v>
      </c>
      <c r="F15" s="4">
        <v>1652</v>
      </c>
      <c r="G15" s="4">
        <v>34914</v>
      </c>
      <c r="H15" s="5">
        <f>Table3[[#This Row],[MATCHES]]*Table3[[#This Row],[WIN RATE]]</f>
        <v>3377.1179999999999</v>
      </c>
      <c r="I15" s="5">
        <f>Table3[[#This Row],[MATCHES]]-Table3[[#This Row],[Number of wins]]</f>
        <v>3402.8820000000001</v>
      </c>
      <c r="J15" s="4" t="str">
        <f>VLOOKUP(Table3[[#This Row],[GOD]],' Raw Data for God Type'!A:I,2)</f>
        <v>Celtic</v>
      </c>
      <c r="K15" s="4" t="str">
        <f>VLOOKUP(Table3[[#This Row],[GOD]],' Raw Data for God Type'!A:I,5)</f>
        <v>Guardian</v>
      </c>
      <c r="L15" s="4" t="str">
        <f>VLOOKUP(Table3[[#This Row],[GOD]],' Raw Data for God Type'!A:I,6)</f>
        <v>Average</v>
      </c>
      <c r="M15" s="4" t="str">
        <f>VLOOKUP(Table3[[#This Row],[GOD]],' Raw Data for God Type'!A:I,3)</f>
        <v>Melee</v>
      </c>
      <c r="N15" s="4" t="str">
        <f>VLOOKUP(Table3[[#This Row],[GOD]],' Raw Data for God Type'!A:I,4)</f>
        <v>Magical</v>
      </c>
    </row>
    <row r="16" spans="1:14" x14ac:dyDescent="0.25">
      <c r="A16" s="4" t="s">
        <v>159</v>
      </c>
      <c r="B16" s="4">
        <v>0.49540000000000001</v>
      </c>
      <c r="C16" s="4">
        <v>13271</v>
      </c>
      <c r="D16" s="4">
        <v>1.85</v>
      </c>
      <c r="E16" s="4">
        <v>10103</v>
      </c>
      <c r="F16" s="4">
        <v>540</v>
      </c>
      <c r="G16" s="4">
        <v>33202</v>
      </c>
      <c r="H16" s="5">
        <f>Table3[[#This Row],[MATCHES]]*Table3[[#This Row],[WIN RATE]]</f>
        <v>6574.4534000000003</v>
      </c>
      <c r="I16" s="5">
        <f>Table3[[#This Row],[MATCHES]]-Table3[[#This Row],[Number of wins]]</f>
        <v>6696.5465999999997</v>
      </c>
      <c r="J16" s="4" t="str">
        <f>VLOOKUP(Table3[[#This Row],[GOD]],' Raw Data for God Type'!A:I,2)</f>
        <v>Greek</v>
      </c>
      <c r="K16" s="4" t="str">
        <f>VLOOKUP(Table3[[#This Row],[GOD]],' Raw Data for God Type'!A:I,5)</f>
        <v>Guardian</v>
      </c>
      <c r="L16" s="4" t="str">
        <f>VLOOKUP(Table3[[#This Row],[GOD]],' Raw Data for God Type'!A:I,6)</f>
        <v>Easy</v>
      </c>
      <c r="M16" s="4" t="str">
        <f>VLOOKUP(Table3[[#This Row],[GOD]],' Raw Data for God Type'!A:I,3)</f>
        <v>Melee</v>
      </c>
      <c r="N16" s="4" t="str">
        <f>VLOOKUP(Table3[[#This Row],[GOD]],' Raw Data for God Type'!A:I,4)</f>
        <v>Magical</v>
      </c>
    </row>
    <row r="17" spans="1:14" x14ac:dyDescent="0.25">
      <c r="A17" s="4" t="s">
        <v>96</v>
      </c>
      <c r="B17" s="4">
        <v>0.51219999999999999</v>
      </c>
      <c r="C17" s="4">
        <v>15104</v>
      </c>
      <c r="D17" s="4">
        <v>2.02</v>
      </c>
      <c r="E17" s="4">
        <v>12741</v>
      </c>
      <c r="F17" s="4">
        <v>604</v>
      </c>
      <c r="G17" s="4">
        <v>32236</v>
      </c>
      <c r="H17" s="5">
        <f>Table3[[#This Row],[MATCHES]]*Table3[[#This Row],[WIN RATE]]</f>
        <v>7736.2687999999998</v>
      </c>
      <c r="I17" s="5">
        <f>Table3[[#This Row],[MATCHES]]-Table3[[#This Row],[Number of wins]]</f>
        <v>7367.7312000000002</v>
      </c>
      <c r="J17" s="4" t="str">
        <f>VLOOKUP(Table3[[#This Row],[GOD]],' Raw Data for God Type'!A:I,2)</f>
        <v>Greek</v>
      </c>
      <c r="K17" s="4" t="str">
        <f>VLOOKUP(Table3[[#This Row],[GOD]],' Raw Data for God Type'!A:I,5)</f>
        <v>Guardian</v>
      </c>
      <c r="L17" s="4" t="str">
        <f>VLOOKUP(Table3[[#This Row],[GOD]],' Raw Data for God Type'!A:I,6)</f>
        <v>Easy</v>
      </c>
      <c r="M17" s="4" t="str">
        <f>VLOOKUP(Table3[[#This Row],[GOD]],' Raw Data for God Type'!A:I,3)</f>
        <v>Melee</v>
      </c>
      <c r="N17" s="4" t="str">
        <f>VLOOKUP(Table3[[#This Row],[GOD]],' Raw Data for God Type'!A:I,4)</f>
        <v>Magical</v>
      </c>
    </row>
    <row r="18" spans="1:14" x14ac:dyDescent="0.25">
      <c r="A18" s="4" t="s">
        <v>171</v>
      </c>
      <c r="B18" s="4">
        <v>0.48920000000000002</v>
      </c>
      <c r="C18" s="4">
        <v>9867</v>
      </c>
      <c r="D18" s="4">
        <v>1.9</v>
      </c>
      <c r="E18" s="4">
        <v>15872</v>
      </c>
      <c r="F18" s="4">
        <v>19</v>
      </c>
      <c r="G18" s="4">
        <v>10151</v>
      </c>
      <c r="H18" s="5">
        <f>Table3[[#This Row],[MATCHES]]*Table3[[#This Row],[WIN RATE]]</f>
        <v>4826.9364000000005</v>
      </c>
      <c r="I18" s="5">
        <f>Table3[[#This Row],[MATCHES]]-Table3[[#This Row],[Number of wins]]</f>
        <v>5040.0635999999995</v>
      </c>
      <c r="J18" s="4" t="str">
        <f>VLOOKUP(Table3[[#This Row],[GOD]],' Raw Data for God Type'!A:I,2)</f>
        <v>Maya</v>
      </c>
      <c r="K18" s="4" t="str">
        <f>VLOOKUP(Table3[[#This Row],[GOD]],' Raw Data for God Type'!A:I,5)</f>
        <v>Assassin</v>
      </c>
      <c r="L18" s="4" t="str">
        <f>VLOOKUP(Table3[[#This Row],[GOD]],' Raw Data for God Type'!A:I,6)</f>
        <v>Hard</v>
      </c>
      <c r="M18" s="4" t="str">
        <f>VLOOKUP(Table3[[#This Row],[GOD]],' Raw Data for God Type'!A:I,3)</f>
        <v>Melee</v>
      </c>
      <c r="N18" s="4" t="str">
        <f>VLOOKUP(Table3[[#This Row],[GOD]],' Raw Data for God Type'!A:I,4)</f>
        <v>Physical</v>
      </c>
    </row>
    <row r="19" spans="1:14" x14ac:dyDescent="0.25">
      <c r="A19" s="4" t="s">
        <v>70</v>
      </c>
      <c r="B19" s="4">
        <v>0.52339999999999998</v>
      </c>
      <c r="C19" s="4">
        <v>2946</v>
      </c>
      <c r="D19" s="4">
        <v>1.96</v>
      </c>
      <c r="E19" s="4">
        <v>19575</v>
      </c>
      <c r="F19" s="4">
        <v>81</v>
      </c>
      <c r="G19" s="4">
        <v>8751</v>
      </c>
      <c r="H19" s="5">
        <f>Table3[[#This Row],[MATCHES]]*Table3[[#This Row],[WIN RATE]]</f>
        <v>1541.9363999999998</v>
      </c>
      <c r="I19" s="5">
        <f>Table3[[#This Row],[MATCHES]]-Table3[[#This Row],[Number of wins]]</f>
        <v>1404.0636000000002</v>
      </c>
      <c r="J19" s="4" t="str">
        <f>VLOOKUP(Table3[[#This Row],[GOD]],' Raw Data for God Type'!A:I,2)</f>
        <v>Slavic</v>
      </c>
      <c r="K19" s="4" t="str">
        <f>VLOOKUP(Table3[[#This Row],[GOD]],' Raw Data for God Type'!A:I,5)</f>
        <v>Mage</v>
      </c>
      <c r="L19" s="4" t="str">
        <f>VLOOKUP(Table3[[#This Row],[GOD]],' Raw Data for God Type'!A:I,6)</f>
        <v>Average</v>
      </c>
      <c r="M19" s="4" t="str">
        <f>VLOOKUP(Table3[[#This Row],[GOD]],' Raw Data for God Type'!A:I,3)</f>
        <v>Ranged</v>
      </c>
      <c r="N19" s="4" t="str">
        <f>VLOOKUP(Table3[[#This Row],[GOD]],' Raw Data for God Type'!A:I,4)</f>
        <v>Magical</v>
      </c>
    </row>
    <row r="20" spans="1:14" x14ac:dyDescent="0.25">
      <c r="A20" s="4" t="s">
        <v>111</v>
      </c>
      <c r="B20" s="4">
        <v>0.50800000000000001</v>
      </c>
      <c r="C20" s="4">
        <v>12903</v>
      </c>
      <c r="D20" s="4">
        <v>2.0699999999999998</v>
      </c>
      <c r="E20" s="4">
        <v>11672</v>
      </c>
      <c r="F20" s="4">
        <v>436</v>
      </c>
      <c r="G20" s="4">
        <v>33573</v>
      </c>
      <c r="H20" s="5">
        <f>Table3[[#This Row],[MATCHES]]*Table3[[#This Row],[WIN RATE]]</f>
        <v>6554.7240000000002</v>
      </c>
      <c r="I20" s="5">
        <f>Table3[[#This Row],[MATCHES]]-Table3[[#This Row],[Number of wins]]</f>
        <v>6348.2759999999998</v>
      </c>
      <c r="J20" s="4" t="str">
        <f>VLOOKUP(Table3[[#This Row],[GOD]],' Raw Data for God Type'!A:I,2)</f>
        <v>Roman</v>
      </c>
      <c r="K20" s="4" t="str">
        <f>VLOOKUP(Table3[[#This Row],[GOD]],' Raw Data for God Type'!A:I,5)</f>
        <v>Guardian</v>
      </c>
      <c r="L20" s="4" t="str">
        <f>VLOOKUP(Table3[[#This Row],[GOD]],' Raw Data for God Type'!A:I,6)</f>
        <v>Average</v>
      </c>
      <c r="M20" s="4" t="str">
        <f>VLOOKUP(Table3[[#This Row],[GOD]],' Raw Data for God Type'!A:I,3)</f>
        <v>Melee</v>
      </c>
      <c r="N20" s="4" t="str">
        <f>VLOOKUP(Table3[[#This Row],[GOD]],' Raw Data for God Type'!A:I,4)</f>
        <v>Magical</v>
      </c>
    </row>
    <row r="21" spans="1:14" x14ac:dyDescent="0.25">
      <c r="A21" s="4" t="s">
        <v>18</v>
      </c>
      <c r="B21" s="4">
        <v>0.54390000000000005</v>
      </c>
      <c r="C21" s="4">
        <v>8385</v>
      </c>
      <c r="D21" s="4">
        <v>1.96</v>
      </c>
      <c r="E21" s="4">
        <v>18209</v>
      </c>
      <c r="F21" s="4">
        <v>18</v>
      </c>
      <c r="G21" s="4">
        <v>14526</v>
      </c>
      <c r="H21" s="5">
        <f>Table3[[#This Row],[MATCHES]]*Table3[[#This Row],[WIN RATE]]</f>
        <v>4560.6015000000007</v>
      </c>
      <c r="I21" s="5">
        <f>Table3[[#This Row],[MATCHES]]-Table3[[#This Row],[Number of wins]]</f>
        <v>3824.3984999999993</v>
      </c>
      <c r="J21" s="4" t="str">
        <f>VLOOKUP(Table3[[#This Row],[GOD]],' Raw Data for God Type'!A:I,2)</f>
        <v>Hindu</v>
      </c>
      <c r="K21" s="4" t="str">
        <f>VLOOKUP(Table3[[#This Row],[GOD]],' Raw Data for God Type'!A:I,5)</f>
        <v>Assassin</v>
      </c>
      <c r="L21" s="4" t="str">
        <f>VLOOKUP(Table3[[#This Row],[GOD]],' Raw Data for God Type'!A:I,6)</f>
        <v>Easy</v>
      </c>
      <c r="M21" s="4" t="str">
        <f>VLOOKUP(Table3[[#This Row],[GOD]],' Raw Data for God Type'!A:I,3)</f>
        <v>Melee</v>
      </c>
      <c r="N21" s="4" t="str">
        <f>VLOOKUP(Table3[[#This Row],[GOD]],' Raw Data for God Type'!A:I,4)</f>
        <v>Physical</v>
      </c>
    </row>
    <row r="22" spans="1:14" x14ac:dyDescent="0.25">
      <c r="A22" s="4" t="s">
        <v>32</v>
      </c>
      <c r="B22" s="4">
        <v>0.54049999999999998</v>
      </c>
      <c r="C22" s="4">
        <v>10711</v>
      </c>
      <c r="D22" s="4">
        <v>1.67</v>
      </c>
      <c r="E22" s="4">
        <v>15971</v>
      </c>
      <c r="F22" s="4">
        <v>2072</v>
      </c>
      <c r="G22" s="4">
        <v>16508</v>
      </c>
      <c r="H22" s="5">
        <f>Table3[[#This Row],[MATCHES]]*Table3[[#This Row],[WIN RATE]]</f>
        <v>5789.2955000000002</v>
      </c>
      <c r="I22" s="5">
        <f>Table3[[#This Row],[MATCHES]]-Table3[[#This Row],[Number of wins]]</f>
        <v>4921.7044999999998</v>
      </c>
      <c r="J22" s="4" t="str">
        <f>VLOOKUP(Table3[[#This Row],[GOD]],' Raw Data for God Type'!A:I,2)</f>
        <v>Voodoo</v>
      </c>
      <c r="K22" s="4" t="str">
        <f>VLOOKUP(Table3[[#This Row],[GOD]],' Raw Data for God Type'!A:I,5)</f>
        <v>Mage</v>
      </c>
      <c r="L22" s="4" t="str">
        <f>VLOOKUP(Table3[[#This Row],[GOD]],' Raw Data for God Type'!A:I,6)</f>
        <v>Hard</v>
      </c>
      <c r="M22" s="4" t="str">
        <f>VLOOKUP(Table3[[#This Row],[GOD]],' Raw Data for God Type'!A:I,3)</f>
        <v>Ranged</v>
      </c>
      <c r="N22" s="4" t="str">
        <f>VLOOKUP(Table3[[#This Row],[GOD]],' Raw Data for God Type'!A:I,4)</f>
        <v>Magical</v>
      </c>
    </row>
    <row r="23" spans="1:14" x14ac:dyDescent="0.25">
      <c r="A23" s="4" t="s">
        <v>64</v>
      </c>
      <c r="B23" s="4">
        <v>0.52629999999999999</v>
      </c>
      <c r="C23" s="4">
        <v>9520</v>
      </c>
      <c r="D23" s="4">
        <v>2.1</v>
      </c>
      <c r="E23" s="4">
        <v>17213</v>
      </c>
      <c r="F23" s="4">
        <v>31</v>
      </c>
      <c r="G23" s="4">
        <v>10998</v>
      </c>
      <c r="H23" s="5">
        <f>Table3[[#This Row],[MATCHES]]*Table3[[#This Row],[WIN RATE]]</f>
        <v>5010.3760000000002</v>
      </c>
      <c r="I23" s="5">
        <f>Table3[[#This Row],[MATCHES]]-Table3[[#This Row],[Number of wins]]</f>
        <v>4509.6239999999998</v>
      </c>
      <c r="J23" s="4" t="str">
        <f>VLOOKUP(Table3[[#This Row],[GOD]],' Raw Data for God Type'!A:I,2)</f>
        <v>Egyptian</v>
      </c>
      <c r="K23" s="4" t="str">
        <f>VLOOKUP(Table3[[#This Row],[GOD]],' Raw Data for God Type'!A:I,5)</f>
        <v>Assassin</v>
      </c>
      <c r="L23" s="4" t="str">
        <f>VLOOKUP(Table3[[#This Row],[GOD]],' Raw Data for God Type'!A:I,6)</f>
        <v>Easy</v>
      </c>
      <c r="M23" s="4" t="str">
        <f>VLOOKUP(Table3[[#This Row],[GOD]],' Raw Data for God Type'!A:I,3)</f>
        <v>Melee</v>
      </c>
      <c r="N23" s="4" t="str">
        <f>VLOOKUP(Table3[[#This Row],[GOD]],' Raw Data for God Type'!A:I,4)</f>
        <v>Physical</v>
      </c>
    </row>
    <row r="24" spans="1:14" x14ac:dyDescent="0.25">
      <c r="A24" s="4" t="s">
        <v>16</v>
      </c>
      <c r="B24" s="4">
        <v>0.54400000000000004</v>
      </c>
      <c r="C24" s="4">
        <v>18497</v>
      </c>
      <c r="D24" s="4">
        <v>1.85</v>
      </c>
      <c r="E24" s="4">
        <v>16567</v>
      </c>
      <c r="F24" s="4">
        <v>63</v>
      </c>
      <c r="G24" s="4">
        <v>29968</v>
      </c>
      <c r="H24" s="5">
        <f>Table3[[#This Row],[MATCHES]]*Table3[[#This Row],[WIN RATE]]</f>
        <v>10062.368</v>
      </c>
      <c r="I24" s="5">
        <f>Table3[[#This Row],[MATCHES]]-Table3[[#This Row],[Number of wins]]</f>
        <v>8434.6319999999996</v>
      </c>
      <c r="J24" s="4" t="str">
        <f>VLOOKUP(Table3[[#This Row],[GOD]],' Raw Data for God Type'!A:I,2)</f>
        <v>Roman</v>
      </c>
      <c r="K24" s="4" t="str">
        <f>VLOOKUP(Table3[[#This Row],[GOD]],' Raw Data for God Type'!A:I,5)</f>
        <v>Warrior</v>
      </c>
      <c r="L24" s="4" t="str">
        <f>VLOOKUP(Table3[[#This Row],[GOD]],' Raw Data for God Type'!A:I,6)</f>
        <v>Average</v>
      </c>
      <c r="M24" s="4" t="str">
        <f>VLOOKUP(Table3[[#This Row],[GOD]],' Raw Data for God Type'!A:I,3)</f>
        <v>Melee</v>
      </c>
      <c r="N24" s="4" t="str">
        <f>VLOOKUP(Table3[[#This Row],[GOD]],' Raw Data for God Type'!A:I,4)</f>
        <v>Physical</v>
      </c>
    </row>
    <row r="25" spans="1:14" x14ac:dyDescent="0.25">
      <c r="A25" s="4" t="s">
        <v>142</v>
      </c>
      <c r="B25" s="4">
        <v>0.502</v>
      </c>
      <c r="C25" s="4">
        <v>8687</v>
      </c>
      <c r="D25" s="4">
        <v>1.69</v>
      </c>
      <c r="E25" s="4">
        <v>13883</v>
      </c>
      <c r="F25" s="4">
        <v>248</v>
      </c>
      <c r="G25" s="4">
        <v>29974</v>
      </c>
      <c r="H25" s="5">
        <f>Table3[[#This Row],[MATCHES]]*Table3[[#This Row],[WIN RATE]]</f>
        <v>4360.8739999999998</v>
      </c>
      <c r="I25" s="5">
        <f>Table3[[#This Row],[MATCHES]]-Table3[[#This Row],[Number of wins]]</f>
        <v>4326.1260000000002</v>
      </c>
      <c r="J25" s="4" t="str">
        <f>VLOOKUP(Table3[[#This Row],[GOD]],' Raw Data for God Type'!A:I,2)</f>
        <v>Maya</v>
      </c>
      <c r="K25" s="4" t="str">
        <f>VLOOKUP(Table3[[#This Row],[GOD]],' Raw Data for God Type'!A:I,5)</f>
        <v>Guardian</v>
      </c>
      <c r="L25" s="4" t="str">
        <f>VLOOKUP(Table3[[#This Row],[GOD]],' Raw Data for God Type'!A:I,6)</f>
        <v>Average</v>
      </c>
      <c r="M25" s="4" t="str">
        <f>VLOOKUP(Table3[[#This Row],[GOD]],' Raw Data for God Type'!A:I,3)</f>
        <v>Melee</v>
      </c>
      <c r="N25" s="4" t="str">
        <f>VLOOKUP(Table3[[#This Row],[GOD]],' Raw Data for God Type'!A:I,4)</f>
        <v>Magical</v>
      </c>
    </row>
    <row r="26" spans="1:14" x14ac:dyDescent="0.25">
      <c r="A26" s="4" t="s">
        <v>209</v>
      </c>
      <c r="B26" s="4">
        <v>0.47160000000000002</v>
      </c>
      <c r="C26" s="4">
        <v>4088</v>
      </c>
      <c r="D26" s="4">
        <v>1.86</v>
      </c>
      <c r="E26" s="4">
        <v>15760</v>
      </c>
      <c r="F26" s="4">
        <v>22</v>
      </c>
      <c r="G26" s="4">
        <v>17771</v>
      </c>
      <c r="H26" s="5">
        <f>Table3[[#This Row],[MATCHES]]*Table3[[#This Row],[WIN RATE]]</f>
        <v>1927.9008000000001</v>
      </c>
      <c r="I26" s="5">
        <f>Table3[[#This Row],[MATCHES]]-Table3[[#This Row],[Number of wins]]</f>
        <v>2160.0991999999997</v>
      </c>
      <c r="J26" s="4" t="str">
        <f>VLOOKUP(Table3[[#This Row],[GOD]],' Raw Data for God Type'!A:I,2)</f>
        <v>Maya</v>
      </c>
      <c r="K26" s="4" t="str">
        <f>VLOOKUP(Table3[[#This Row],[GOD]],' Raw Data for God Type'!A:I,5)</f>
        <v>Assassin</v>
      </c>
      <c r="L26" s="4" t="str">
        <f>VLOOKUP(Table3[[#This Row],[GOD]],' Raw Data for God Type'!A:I,6)</f>
        <v>Average</v>
      </c>
      <c r="M26" s="4" t="str">
        <f>VLOOKUP(Table3[[#This Row],[GOD]],' Raw Data for God Type'!A:I,3)</f>
        <v>Melee</v>
      </c>
      <c r="N26" s="4" t="str">
        <f>VLOOKUP(Table3[[#This Row],[GOD]],' Raw Data for God Type'!A:I,4)</f>
        <v>Physical</v>
      </c>
    </row>
    <row r="27" spans="1:14" x14ac:dyDescent="0.25">
      <c r="A27" s="4" t="s">
        <v>207</v>
      </c>
      <c r="B27" s="4">
        <v>0.4718</v>
      </c>
      <c r="C27" s="4">
        <v>7736</v>
      </c>
      <c r="D27" s="4">
        <v>1.71</v>
      </c>
      <c r="E27" s="4">
        <v>12045</v>
      </c>
      <c r="F27" s="4">
        <v>384</v>
      </c>
      <c r="G27" s="4">
        <v>33038</v>
      </c>
      <c r="H27" s="5">
        <f>Table3[[#This Row],[MATCHES]]*Table3[[#This Row],[WIN RATE]]</f>
        <v>3649.8447999999999</v>
      </c>
      <c r="I27" s="5">
        <f>Table3[[#This Row],[MATCHES]]-Table3[[#This Row],[Number of wins]]</f>
        <v>4086.1552000000001</v>
      </c>
      <c r="J27" s="4" t="str">
        <f>VLOOKUP(Table3[[#This Row],[GOD]],' Raw Data for God Type'!A:I,2)</f>
        <v>Greek</v>
      </c>
      <c r="K27" s="4" t="str">
        <f>VLOOKUP(Table3[[#This Row],[GOD]],' Raw Data for God Type'!A:I,5)</f>
        <v>Guardian</v>
      </c>
      <c r="L27" s="4" t="str">
        <f>VLOOKUP(Table3[[#This Row],[GOD]],' Raw Data for God Type'!A:I,6)</f>
        <v>Easy</v>
      </c>
      <c r="M27" s="4" t="str">
        <f>VLOOKUP(Table3[[#This Row],[GOD]],' Raw Data for God Type'!A:I,3)</f>
        <v>Melee</v>
      </c>
      <c r="N27" s="4" t="str">
        <f>VLOOKUP(Table3[[#This Row],[GOD]],' Raw Data for God Type'!A:I,4)</f>
        <v>Magical</v>
      </c>
    </row>
    <row r="28" spans="1:14" x14ac:dyDescent="0.25">
      <c r="A28" s="4" t="s">
        <v>52</v>
      </c>
      <c r="B28" s="4">
        <v>0.52969999999999995</v>
      </c>
      <c r="C28" s="4">
        <v>12174</v>
      </c>
      <c r="D28" s="4">
        <v>1.69</v>
      </c>
      <c r="E28" s="4">
        <v>18776</v>
      </c>
      <c r="F28" s="4">
        <v>35</v>
      </c>
      <c r="G28" s="4">
        <v>8726</v>
      </c>
      <c r="H28" s="5">
        <f>Table3[[#This Row],[MATCHES]]*Table3[[#This Row],[WIN RATE]]</f>
        <v>6448.5677999999998</v>
      </c>
      <c r="I28" s="5">
        <f>Table3[[#This Row],[MATCHES]]-Table3[[#This Row],[Number of wins]]</f>
        <v>5725.4322000000002</v>
      </c>
      <c r="J28" s="4" t="str">
        <f>VLOOKUP(Table3[[#This Row],[GOD]],' Raw Data for God Type'!A:I,2)</f>
        <v>Celtic</v>
      </c>
      <c r="K28" s="4" t="str">
        <f>VLOOKUP(Table3[[#This Row],[GOD]],' Raw Data for God Type'!A:I,5)</f>
        <v>Hunter</v>
      </c>
      <c r="L28" s="4" t="str">
        <f>VLOOKUP(Table3[[#This Row],[GOD]],' Raw Data for God Type'!A:I,6)</f>
        <v>Average</v>
      </c>
      <c r="M28" s="4" t="str">
        <f>VLOOKUP(Table3[[#This Row],[GOD]],' Raw Data for God Type'!A:I,3)</f>
        <v>Ranged</v>
      </c>
      <c r="N28" s="4" t="str">
        <f>VLOOKUP(Table3[[#This Row],[GOD]],' Raw Data for God Type'!A:I,4)</f>
        <v>Physical</v>
      </c>
    </row>
    <row r="29" spans="1:14" x14ac:dyDescent="0.25">
      <c r="A29" s="4" t="s">
        <v>130</v>
      </c>
      <c r="B29" s="4">
        <v>0.50509999999999999</v>
      </c>
      <c r="C29" s="4">
        <v>12180</v>
      </c>
      <c r="D29" s="4">
        <v>1.75</v>
      </c>
      <c r="E29" s="4">
        <v>17348</v>
      </c>
      <c r="F29" s="4">
        <v>92</v>
      </c>
      <c r="G29" s="4">
        <v>31049</v>
      </c>
      <c r="H29" s="5">
        <f>Table3[[#This Row],[MATCHES]]*Table3[[#This Row],[WIN RATE]]</f>
        <v>6152.1179999999995</v>
      </c>
      <c r="I29" s="5">
        <f>Table3[[#This Row],[MATCHES]]-Table3[[#This Row],[Number of wins]]</f>
        <v>6027.8820000000005</v>
      </c>
      <c r="J29" s="4" t="str">
        <f>VLOOKUP(Table3[[#This Row],[GOD]],' Raw Data for God Type'!A:I,2)</f>
        <v>Maya</v>
      </c>
      <c r="K29" s="4" t="str">
        <f>VLOOKUP(Table3[[#This Row],[GOD]],' Raw Data for God Type'!A:I,5)</f>
        <v>Warrior</v>
      </c>
      <c r="L29" s="4" t="str">
        <f>VLOOKUP(Table3[[#This Row],[GOD]],' Raw Data for God Type'!A:I,6)</f>
        <v>Average</v>
      </c>
      <c r="M29" s="4" t="str">
        <f>VLOOKUP(Table3[[#This Row],[GOD]],' Raw Data for God Type'!A:I,3)</f>
        <v>Melee</v>
      </c>
      <c r="N29" s="4" t="str">
        <f>VLOOKUP(Table3[[#This Row],[GOD]],' Raw Data for God Type'!A:I,4)</f>
        <v>Physical</v>
      </c>
    </row>
    <row r="30" spans="1:14" x14ac:dyDescent="0.25">
      <c r="A30" s="4" t="s">
        <v>66</v>
      </c>
      <c r="B30" s="4">
        <v>0.52610000000000001</v>
      </c>
      <c r="C30" s="4">
        <v>6554</v>
      </c>
      <c r="D30" s="4">
        <v>1.61</v>
      </c>
      <c r="E30" s="4">
        <v>15998</v>
      </c>
      <c r="F30" s="4">
        <v>3593</v>
      </c>
      <c r="G30" s="4">
        <v>11197</v>
      </c>
      <c r="H30" s="5">
        <f>Table3[[#This Row],[MATCHES]]*Table3[[#This Row],[WIN RATE]]</f>
        <v>3448.0594000000001</v>
      </c>
      <c r="I30" s="5">
        <f>Table3[[#This Row],[MATCHES]]-Table3[[#This Row],[Number of wins]]</f>
        <v>3105.9405999999999</v>
      </c>
      <c r="J30" s="4" t="str">
        <f>VLOOKUP(Table3[[#This Row],[GOD]],' Raw Data for God Type'!A:I,2)</f>
        <v>Chinese</v>
      </c>
      <c r="K30" s="4" t="str">
        <f>VLOOKUP(Table3[[#This Row],[GOD]],' Raw Data for God Type'!A:I,5)</f>
        <v>Mage</v>
      </c>
      <c r="L30" s="4" t="str">
        <f>VLOOKUP(Table3[[#This Row],[GOD]],' Raw Data for God Type'!A:I,6)</f>
        <v>Average</v>
      </c>
      <c r="M30" s="4" t="str">
        <f>VLOOKUP(Table3[[#This Row],[GOD]],' Raw Data for God Type'!A:I,3)</f>
        <v>Ranged</v>
      </c>
      <c r="N30" s="4" t="str">
        <f>VLOOKUP(Table3[[#This Row],[GOD]],' Raw Data for God Type'!A:I,4)</f>
        <v>Magical</v>
      </c>
    </row>
    <row r="31" spans="1:14" x14ac:dyDescent="0.25">
      <c r="A31" s="4" t="s">
        <v>199</v>
      </c>
      <c r="B31" s="4">
        <v>0.47339999999999999</v>
      </c>
      <c r="C31" s="4">
        <v>10282</v>
      </c>
      <c r="D31" s="4">
        <v>1.42</v>
      </c>
      <c r="E31" s="4">
        <v>16771</v>
      </c>
      <c r="F31" s="4">
        <v>31</v>
      </c>
      <c r="G31" s="4">
        <v>7746</v>
      </c>
      <c r="H31" s="5">
        <f>Table3[[#This Row],[MATCHES]]*Table3[[#This Row],[WIN RATE]]</f>
        <v>4867.4988000000003</v>
      </c>
      <c r="I31" s="5">
        <f>Table3[[#This Row],[MATCHES]]-Table3[[#This Row],[Number of wins]]</f>
        <v>5414.5011999999997</v>
      </c>
      <c r="J31" s="4" t="str">
        <f>VLOOKUP(Table3[[#This Row],[GOD]],' Raw Data for God Type'!A:I,2)</f>
        <v>Greek</v>
      </c>
      <c r="K31" s="4" t="str">
        <f>VLOOKUP(Table3[[#This Row],[GOD]],' Raw Data for God Type'!A:I,5)</f>
        <v>Hunter</v>
      </c>
      <c r="L31" s="4" t="str">
        <f>VLOOKUP(Table3[[#This Row],[GOD]],' Raw Data for God Type'!A:I,6)</f>
        <v>Average</v>
      </c>
      <c r="M31" s="4" t="str">
        <f>VLOOKUP(Table3[[#This Row],[GOD]],' Raw Data for God Type'!A:I,3)</f>
        <v>Ranged</v>
      </c>
      <c r="N31" s="4" t="str">
        <f>VLOOKUP(Table3[[#This Row],[GOD]],' Raw Data for God Type'!A:I,4)</f>
        <v>Physical</v>
      </c>
    </row>
    <row r="32" spans="1:14" x14ac:dyDescent="0.25">
      <c r="A32" s="4" t="s">
        <v>46</v>
      </c>
      <c r="B32" s="4">
        <v>0.53249999999999997</v>
      </c>
      <c r="C32" s="4">
        <v>5608</v>
      </c>
      <c r="D32" s="4">
        <v>1.82</v>
      </c>
      <c r="E32" s="4">
        <v>18072</v>
      </c>
      <c r="F32" s="4">
        <v>32</v>
      </c>
      <c r="G32" s="4">
        <v>8895</v>
      </c>
      <c r="H32" s="5">
        <f>Table3[[#This Row],[MATCHES]]*Table3[[#This Row],[WIN RATE]]</f>
        <v>2986.2599999999998</v>
      </c>
      <c r="I32" s="5">
        <f>Table3[[#This Row],[MATCHES]]-Table3[[#This Row],[Number of wins]]</f>
        <v>2621.7400000000002</v>
      </c>
      <c r="J32" s="4" t="str">
        <f>VLOOKUP(Table3[[#This Row],[GOD]],' Raw Data for God Type'!A:I,2)</f>
        <v>Slavic</v>
      </c>
      <c r="K32" s="4" t="str">
        <f>VLOOKUP(Table3[[#This Row],[GOD]],' Raw Data for God Type'!A:I,5)</f>
        <v>Hunter</v>
      </c>
      <c r="L32" s="4" t="str">
        <f>VLOOKUP(Table3[[#This Row],[GOD]],' Raw Data for God Type'!A:I,6)</f>
        <v>Hard</v>
      </c>
      <c r="M32" s="4" t="str">
        <f>VLOOKUP(Table3[[#This Row],[GOD]],' Raw Data for God Type'!A:I,3)</f>
        <v>Ranged</v>
      </c>
      <c r="N32" s="4" t="str">
        <f>VLOOKUP(Table3[[#This Row],[GOD]],' Raw Data for God Type'!A:I,4)</f>
        <v>Physical</v>
      </c>
    </row>
    <row r="33" spans="1:14" x14ac:dyDescent="0.25">
      <c r="A33" s="4" t="s">
        <v>48</v>
      </c>
      <c r="B33" s="4">
        <v>0.53159999999999996</v>
      </c>
      <c r="C33" s="4">
        <v>9710</v>
      </c>
      <c r="D33" s="4">
        <v>1.99</v>
      </c>
      <c r="E33" s="4">
        <v>18549</v>
      </c>
      <c r="F33" s="4">
        <v>1132</v>
      </c>
      <c r="G33" s="4">
        <v>7904</v>
      </c>
      <c r="H33" s="5">
        <f>Table3[[#This Row],[MATCHES]]*Table3[[#This Row],[WIN RATE]]</f>
        <v>5161.8359999999993</v>
      </c>
      <c r="I33" s="5">
        <f>Table3[[#This Row],[MATCHES]]-Table3[[#This Row],[Number of wins]]</f>
        <v>4548.1640000000007</v>
      </c>
      <c r="J33" s="4" t="str">
        <f>VLOOKUP(Table3[[#This Row],[GOD]],' Raw Data for God Type'!A:I,2)</f>
        <v>Greek</v>
      </c>
      <c r="K33" s="4" t="str">
        <f>VLOOKUP(Table3[[#This Row],[GOD]],' Raw Data for God Type'!A:I,5)</f>
        <v>Hunter</v>
      </c>
      <c r="L33" s="4" t="str">
        <f>VLOOKUP(Table3[[#This Row],[GOD]],' Raw Data for God Type'!A:I,6)</f>
        <v>Easy</v>
      </c>
      <c r="M33" s="4" t="str">
        <f>VLOOKUP(Table3[[#This Row],[GOD]],' Raw Data for God Type'!A:I,3)</f>
        <v>Ranged</v>
      </c>
      <c r="N33" s="4" t="str">
        <f>VLOOKUP(Table3[[#This Row],[GOD]],' Raw Data for God Type'!A:I,4)</f>
        <v>Physical</v>
      </c>
    </row>
    <row r="34" spans="1:14" x14ac:dyDescent="0.25">
      <c r="A34" s="4" t="s">
        <v>76</v>
      </c>
      <c r="B34" s="4">
        <v>0.51939999999999997</v>
      </c>
      <c r="C34" s="4">
        <v>4505</v>
      </c>
      <c r="D34" s="4">
        <v>1.64</v>
      </c>
      <c r="E34" s="4">
        <v>17270</v>
      </c>
      <c r="F34" s="4">
        <v>47</v>
      </c>
      <c r="G34" s="4">
        <v>9701</v>
      </c>
      <c r="H34" s="5">
        <f>Table3[[#This Row],[MATCHES]]*Table3[[#This Row],[WIN RATE]]</f>
        <v>2339.8969999999999</v>
      </c>
      <c r="I34" s="5">
        <f>Table3[[#This Row],[MATCHES]]-Table3[[#This Row],[Number of wins]]</f>
        <v>2165.1030000000001</v>
      </c>
      <c r="J34" s="4" t="str">
        <f>VLOOKUP(Table3[[#This Row],[GOD]],' Raw Data for God Type'!A:I,2)</f>
        <v>Greek</v>
      </c>
      <c r="K34" s="4" t="str">
        <f>VLOOKUP(Table3[[#This Row],[GOD]],' Raw Data for God Type'!A:I,5)</f>
        <v>Mage</v>
      </c>
      <c r="L34" s="4" t="str">
        <f>VLOOKUP(Table3[[#This Row],[GOD]],' Raw Data for God Type'!A:I,6)</f>
        <v>Hard</v>
      </c>
      <c r="M34" s="4" t="str">
        <f>VLOOKUP(Table3[[#This Row],[GOD]],' Raw Data for God Type'!A:I,3)</f>
        <v>Ranged</v>
      </c>
      <c r="N34" s="4" t="str">
        <f>VLOOKUP(Table3[[#This Row],[GOD]],' Raw Data for God Type'!A:I,4)</f>
        <v>Magical</v>
      </c>
    </row>
    <row r="35" spans="1:14" x14ac:dyDescent="0.25">
      <c r="A35" s="4" t="s">
        <v>24</v>
      </c>
      <c r="B35" s="4">
        <v>0.54190000000000005</v>
      </c>
      <c r="C35" s="4">
        <v>17716</v>
      </c>
      <c r="D35" s="4">
        <v>2.0699999999999998</v>
      </c>
      <c r="E35" s="4">
        <v>19750</v>
      </c>
      <c r="F35" s="4">
        <v>23</v>
      </c>
      <c r="G35" s="4">
        <v>12867</v>
      </c>
      <c r="H35" s="5">
        <f>Table3[[#This Row],[MATCHES]]*Table3[[#This Row],[WIN RATE]]</f>
        <v>9600.3004000000001</v>
      </c>
      <c r="I35" s="5">
        <f>Table3[[#This Row],[MATCHES]]-Table3[[#This Row],[Number of wins]]</f>
        <v>8115.6995999999999</v>
      </c>
      <c r="J35" s="4" t="str">
        <f>VLOOKUP(Table3[[#This Row],[GOD]],' Raw Data for God Type'!A:I,2)</f>
        <v>Celtic</v>
      </c>
      <c r="K35" s="4" t="str">
        <f>VLOOKUP(Table3[[#This Row],[GOD]],' Raw Data for God Type'!A:I,5)</f>
        <v>Assassin</v>
      </c>
      <c r="L35" s="4" t="str">
        <f>VLOOKUP(Table3[[#This Row],[GOD]],' Raw Data for God Type'!A:I,6)</f>
        <v>Average</v>
      </c>
      <c r="M35" s="4" t="str">
        <f>VLOOKUP(Table3[[#This Row],[GOD]],' Raw Data for God Type'!A:I,3)</f>
        <v>Melee</v>
      </c>
      <c r="N35" s="4" t="str">
        <f>VLOOKUP(Table3[[#This Row],[GOD]],' Raw Data for God Type'!A:I,4)</f>
        <v>Physical</v>
      </c>
    </row>
    <row r="36" spans="1:14" x14ac:dyDescent="0.25">
      <c r="A36" s="4" t="s">
        <v>144</v>
      </c>
      <c r="B36" s="4">
        <v>0.50080000000000002</v>
      </c>
      <c r="C36" s="4">
        <v>10985</v>
      </c>
      <c r="D36" s="4">
        <v>1.91</v>
      </c>
      <c r="E36" s="4">
        <v>16001</v>
      </c>
      <c r="F36" s="4">
        <v>1121</v>
      </c>
      <c r="G36" s="4">
        <v>32169</v>
      </c>
      <c r="H36" s="5">
        <f>Table3[[#This Row],[MATCHES]]*Table3[[#This Row],[WIN RATE]]</f>
        <v>5501.2880000000005</v>
      </c>
      <c r="I36" s="5">
        <f>Table3[[#This Row],[MATCHES]]-Table3[[#This Row],[Number of wins]]</f>
        <v>5483.7119999999995</v>
      </c>
      <c r="J36" s="4" t="str">
        <f>VLOOKUP(Table3[[#This Row],[GOD]],' Raw Data for God Type'!A:I,2)</f>
        <v>Great Old Ones</v>
      </c>
      <c r="K36" s="4" t="str">
        <f>VLOOKUP(Table3[[#This Row],[GOD]],' Raw Data for God Type'!A:I,5)</f>
        <v>Guardian</v>
      </c>
      <c r="L36" s="4" t="str">
        <f>VLOOKUP(Table3[[#This Row],[GOD]],' Raw Data for God Type'!A:I,6)</f>
        <v>Average</v>
      </c>
      <c r="M36" s="4" t="str">
        <f>VLOOKUP(Table3[[#This Row],[GOD]],' Raw Data for God Type'!A:I,3)</f>
        <v>Melee</v>
      </c>
      <c r="N36" s="4" t="str">
        <f>VLOOKUP(Table3[[#This Row],[GOD]],' Raw Data for God Type'!A:I,4)</f>
        <v>Magical</v>
      </c>
    </row>
    <row r="37" spans="1:14" x14ac:dyDescent="0.25">
      <c r="A37" s="4" t="s">
        <v>211</v>
      </c>
      <c r="B37" s="4">
        <v>0.47149999999999997</v>
      </c>
      <c r="C37" s="4">
        <v>6588</v>
      </c>
      <c r="D37" s="4">
        <v>1.61</v>
      </c>
      <c r="E37" s="4">
        <v>17326</v>
      </c>
      <c r="F37" s="4">
        <v>68</v>
      </c>
      <c r="G37" s="4">
        <v>28990</v>
      </c>
      <c r="H37" s="5">
        <f>Table3[[#This Row],[MATCHES]]*Table3[[#This Row],[WIN RATE]]</f>
        <v>3106.2419999999997</v>
      </c>
      <c r="I37" s="5">
        <f>Table3[[#This Row],[MATCHES]]-Table3[[#This Row],[Number of wins]]</f>
        <v>3481.7580000000003</v>
      </c>
      <c r="J37" s="4" t="str">
        <f>VLOOKUP(Table3[[#This Row],[GOD]],' Raw Data for God Type'!A:I,2)</f>
        <v>Celtic</v>
      </c>
      <c r="K37" s="4" t="str">
        <f>VLOOKUP(Table3[[#This Row],[GOD]],' Raw Data for God Type'!A:I,5)</f>
        <v>Warrior</v>
      </c>
      <c r="L37" s="4" t="str">
        <f>VLOOKUP(Table3[[#This Row],[GOD]],' Raw Data for God Type'!A:I,6)</f>
        <v>Average</v>
      </c>
      <c r="M37" s="4" t="str">
        <f>VLOOKUP(Table3[[#This Row],[GOD]],' Raw Data for God Type'!A:I,3)</f>
        <v>Melee</v>
      </c>
      <c r="N37" s="4" t="str">
        <f>VLOOKUP(Table3[[#This Row],[GOD]],' Raw Data for God Type'!A:I,4)</f>
        <v>Physical</v>
      </c>
    </row>
    <row r="38" spans="1:14" x14ac:dyDescent="0.25">
      <c r="A38" s="4" t="s">
        <v>78</v>
      </c>
      <c r="B38" s="4">
        <v>0.51700000000000002</v>
      </c>
      <c r="C38" s="4">
        <v>7528</v>
      </c>
      <c r="D38" s="4">
        <v>1.64</v>
      </c>
      <c r="E38" s="4">
        <v>16982</v>
      </c>
      <c r="F38" s="4">
        <v>667</v>
      </c>
      <c r="G38" s="4">
        <v>8268</v>
      </c>
      <c r="H38" s="5">
        <f>Table3[[#This Row],[MATCHES]]*Table3[[#This Row],[WIN RATE]]</f>
        <v>3891.9760000000001</v>
      </c>
      <c r="I38" s="5">
        <f>Table3[[#This Row],[MATCHES]]-Table3[[#This Row],[Number of wins]]</f>
        <v>3636.0239999999999</v>
      </c>
      <c r="J38" s="4" t="str">
        <f>VLOOKUP(Table3[[#This Row],[GOD]],' Raw Data for God Type'!A:I,2)</f>
        <v>Roman</v>
      </c>
      <c r="K38" s="4" t="str">
        <f>VLOOKUP(Table3[[#This Row],[GOD]],' Raw Data for God Type'!A:I,5)</f>
        <v>Hunter</v>
      </c>
      <c r="L38" s="4" t="str">
        <f>VLOOKUP(Table3[[#This Row],[GOD]],' Raw Data for God Type'!A:I,6)</f>
        <v>Easy</v>
      </c>
      <c r="M38" s="4" t="str">
        <f>VLOOKUP(Table3[[#This Row],[GOD]],' Raw Data for God Type'!A:I,3)</f>
        <v>Ranged</v>
      </c>
      <c r="N38" s="4" t="str">
        <f>VLOOKUP(Table3[[#This Row],[GOD]],' Raw Data for God Type'!A:I,4)</f>
        <v>Physical</v>
      </c>
    </row>
    <row r="39" spans="1:14" x14ac:dyDescent="0.25">
      <c r="A39" s="4" t="s">
        <v>179</v>
      </c>
      <c r="B39" s="4">
        <v>0.48249999999999998</v>
      </c>
      <c r="C39" s="4">
        <v>7187</v>
      </c>
      <c r="D39" s="4">
        <v>1.82</v>
      </c>
      <c r="E39" s="4">
        <v>16597</v>
      </c>
      <c r="F39" s="4">
        <v>21</v>
      </c>
      <c r="G39" s="4">
        <v>10919</v>
      </c>
      <c r="H39" s="5">
        <f>Table3[[#This Row],[MATCHES]]*Table3[[#This Row],[WIN RATE]]</f>
        <v>3467.7275</v>
      </c>
      <c r="I39" s="5">
        <f>Table3[[#This Row],[MATCHES]]-Table3[[#This Row],[Number of wins]]</f>
        <v>3719.2725</v>
      </c>
      <c r="J39" s="4" t="str">
        <f>VLOOKUP(Table3[[#This Row],[GOD]],' Raw Data for God Type'!A:I,2)</f>
        <v>Chinese</v>
      </c>
      <c r="K39" s="4" t="str">
        <f>VLOOKUP(Table3[[#This Row],[GOD]],' Raw Data for God Type'!A:I,5)</f>
        <v>Assassin</v>
      </c>
      <c r="L39" s="4" t="str">
        <f>VLOOKUP(Table3[[#This Row],[GOD]],' Raw Data for God Type'!A:I,6)</f>
        <v>Average</v>
      </c>
      <c r="M39" s="4" t="str">
        <f>VLOOKUP(Table3[[#This Row],[GOD]],' Raw Data for God Type'!A:I,3)</f>
        <v>Melee</v>
      </c>
      <c r="N39" s="4" t="str">
        <f>VLOOKUP(Table3[[#This Row],[GOD]],' Raw Data for God Type'!A:I,4)</f>
        <v>Physical</v>
      </c>
    </row>
    <row r="40" spans="1:14" x14ac:dyDescent="0.25">
      <c r="A40" s="4" t="s">
        <v>115</v>
      </c>
      <c r="B40" s="4">
        <v>0.50780000000000003</v>
      </c>
      <c r="C40" s="4">
        <v>12245</v>
      </c>
      <c r="D40" s="4">
        <v>1.64</v>
      </c>
      <c r="E40" s="4">
        <v>17345</v>
      </c>
      <c r="F40" s="4">
        <v>55</v>
      </c>
      <c r="G40" s="4">
        <v>8627</v>
      </c>
      <c r="H40" s="5">
        <f>Table3[[#This Row],[MATCHES]]*Table3[[#This Row],[WIN RATE]]</f>
        <v>6218.0110000000004</v>
      </c>
      <c r="I40" s="5">
        <f>Table3[[#This Row],[MATCHES]]-Table3[[#This Row],[Number of wins]]</f>
        <v>6026.9889999999996</v>
      </c>
      <c r="J40" s="4" t="str">
        <f>VLOOKUP(Table3[[#This Row],[GOD]],' Raw Data for God Type'!A:I,2)</f>
        <v>Japanese</v>
      </c>
      <c r="K40" s="4" t="str">
        <f>VLOOKUP(Table3[[#This Row],[GOD]],' Raw Data for God Type'!A:I,5)</f>
        <v>Hunter</v>
      </c>
      <c r="L40" s="4" t="str">
        <f>VLOOKUP(Table3[[#This Row],[GOD]],' Raw Data for God Type'!A:I,6)</f>
        <v>Average</v>
      </c>
      <c r="M40" s="4" t="str">
        <f>VLOOKUP(Table3[[#This Row],[GOD]],' Raw Data for God Type'!A:I,3)</f>
        <v>Ranged</v>
      </c>
      <c r="N40" s="4" t="str">
        <f>VLOOKUP(Table3[[#This Row],[GOD]],' Raw Data for God Type'!A:I,4)</f>
        <v>Physical</v>
      </c>
    </row>
    <row r="41" spans="1:14" x14ac:dyDescent="0.25">
      <c r="A41" s="4" t="s">
        <v>30</v>
      </c>
      <c r="B41" s="4">
        <v>0.54159999999999997</v>
      </c>
      <c r="C41" s="4">
        <v>4130</v>
      </c>
      <c r="D41" s="4">
        <v>1.54</v>
      </c>
      <c r="E41" s="4">
        <v>17615</v>
      </c>
      <c r="F41" s="4">
        <v>101</v>
      </c>
      <c r="G41" s="4">
        <v>5713</v>
      </c>
      <c r="H41" s="5">
        <f>Table3[[#This Row],[MATCHES]]*Table3[[#This Row],[WIN RATE]]</f>
        <v>2236.808</v>
      </c>
      <c r="I41" s="5">
        <f>Table3[[#This Row],[MATCHES]]-Table3[[#This Row],[Number of wins]]</f>
        <v>1893.192</v>
      </c>
      <c r="J41" s="4" t="str">
        <f>VLOOKUP(Table3[[#This Row],[GOD]],' Raw Data for God Type'!A:I,2)</f>
        <v>Roman</v>
      </c>
      <c r="K41" s="4" t="str">
        <f>VLOOKUP(Table3[[#This Row],[GOD]],' Raw Data for God Type'!A:I,5)</f>
        <v>Mage</v>
      </c>
      <c r="L41" s="4" t="str">
        <f>VLOOKUP(Table3[[#This Row],[GOD]],' Raw Data for God Type'!A:I,6)</f>
        <v>Average</v>
      </c>
      <c r="M41" s="4" t="str">
        <f>VLOOKUP(Table3[[#This Row],[GOD]],' Raw Data for God Type'!A:I,3)</f>
        <v>Ranged</v>
      </c>
      <c r="N41" s="4" t="str">
        <f>VLOOKUP(Table3[[#This Row],[GOD]],' Raw Data for God Type'!A:I,4)</f>
        <v>Magical</v>
      </c>
    </row>
    <row r="42" spans="1:14" x14ac:dyDescent="0.25">
      <c r="A42" s="4" t="s">
        <v>86</v>
      </c>
      <c r="B42" s="4">
        <v>0.51429999999999998</v>
      </c>
      <c r="C42" s="4">
        <v>24173</v>
      </c>
      <c r="D42" s="4">
        <v>1.67</v>
      </c>
      <c r="E42" s="4">
        <v>16447</v>
      </c>
      <c r="F42" s="4">
        <v>103</v>
      </c>
      <c r="G42" s="4">
        <v>29722</v>
      </c>
      <c r="H42" s="5">
        <f>Table3[[#This Row],[MATCHES]]*Table3[[#This Row],[WIN RATE]]</f>
        <v>12432.1739</v>
      </c>
      <c r="I42" s="5">
        <f>Table3[[#This Row],[MATCHES]]-Table3[[#This Row],[Number of wins]]</f>
        <v>11740.8261</v>
      </c>
      <c r="J42" s="4" t="str">
        <f>VLOOKUP(Table3[[#This Row],[GOD]],' Raw Data for God Type'!A:I,2)</f>
        <v>Chinese</v>
      </c>
      <c r="K42" s="4" t="str">
        <f>VLOOKUP(Table3[[#This Row],[GOD]],' Raw Data for God Type'!A:I,5)</f>
        <v>Warrior</v>
      </c>
      <c r="L42" s="4" t="str">
        <f>VLOOKUP(Table3[[#This Row],[GOD]],' Raw Data for God Type'!A:I,6)</f>
        <v>Average</v>
      </c>
      <c r="M42" s="4" t="str">
        <f>VLOOKUP(Table3[[#This Row],[GOD]],' Raw Data for God Type'!A:I,3)</f>
        <v>Melee</v>
      </c>
      <c r="N42" s="4" t="str">
        <f>VLOOKUP(Table3[[#This Row],[GOD]],' Raw Data for God Type'!A:I,4)</f>
        <v>Physical</v>
      </c>
    </row>
    <row r="43" spans="1:14" x14ac:dyDescent="0.25">
      <c r="A43" s="4" t="s">
        <v>14</v>
      </c>
      <c r="B43" s="4">
        <v>0.5474</v>
      </c>
      <c r="C43" s="4">
        <v>5855</v>
      </c>
      <c r="D43" s="4">
        <v>1.58</v>
      </c>
      <c r="E43" s="4">
        <v>14564</v>
      </c>
      <c r="F43" s="4">
        <v>1457</v>
      </c>
      <c r="G43" s="4">
        <v>13921</v>
      </c>
      <c r="H43" s="5">
        <f>Table3[[#This Row],[MATCHES]]*Table3[[#This Row],[WIN RATE]]</f>
        <v>3205.027</v>
      </c>
      <c r="I43" s="5">
        <f>Table3[[#This Row],[MATCHES]]-Table3[[#This Row],[Number of wins]]</f>
        <v>2649.973</v>
      </c>
      <c r="J43" s="4" t="str">
        <f>VLOOKUP(Table3[[#This Row],[GOD]],' Raw Data for God Type'!A:I,2)</f>
        <v>Egyptian</v>
      </c>
      <c r="K43" s="4" t="str">
        <f>VLOOKUP(Table3[[#This Row],[GOD]],' Raw Data for God Type'!A:I,5)</f>
        <v>Mage</v>
      </c>
      <c r="L43" s="4" t="str">
        <f>VLOOKUP(Table3[[#This Row],[GOD]],' Raw Data for God Type'!A:I,6)</f>
        <v>Average</v>
      </c>
      <c r="M43" s="4" t="str">
        <f>VLOOKUP(Table3[[#This Row],[GOD]],' Raw Data for God Type'!A:I,3)</f>
        <v>Ranged</v>
      </c>
      <c r="N43" s="4" t="str">
        <f>VLOOKUP(Table3[[#This Row],[GOD]],' Raw Data for God Type'!A:I,4)</f>
        <v>Magical</v>
      </c>
    </row>
    <row r="44" spans="1:14" x14ac:dyDescent="0.25">
      <c r="A44" s="4" t="s">
        <v>163</v>
      </c>
      <c r="B44" s="4">
        <v>0.49490000000000001</v>
      </c>
      <c r="C44" s="4">
        <v>5300</v>
      </c>
      <c r="D44" s="4">
        <v>2.0699999999999998</v>
      </c>
      <c r="E44" s="4">
        <v>10036</v>
      </c>
      <c r="F44" s="4">
        <v>592</v>
      </c>
      <c r="G44" s="4">
        <v>34687</v>
      </c>
      <c r="H44" s="5">
        <f>Table3[[#This Row],[MATCHES]]*Table3[[#This Row],[WIN RATE]]</f>
        <v>2622.9700000000003</v>
      </c>
      <c r="I44" s="5">
        <f>Table3[[#This Row],[MATCHES]]-Table3[[#This Row],[Number of wins]]</f>
        <v>2677.0299999999997</v>
      </c>
      <c r="J44" s="4" t="str">
        <f>VLOOKUP(Table3[[#This Row],[GOD]],' Raw Data for God Type'!A:I,2)</f>
        <v>Norse</v>
      </c>
      <c r="K44" s="4" t="str">
        <f>VLOOKUP(Table3[[#This Row],[GOD]],' Raw Data for God Type'!A:I,5)</f>
        <v>Guardian</v>
      </c>
      <c r="L44" s="4" t="str">
        <f>VLOOKUP(Table3[[#This Row],[GOD]],' Raw Data for God Type'!A:I,6)</f>
        <v>Average</v>
      </c>
      <c r="M44" s="4" t="str">
        <f>VLOOKUP(Table3[[#This Row],[GOD]],' Raw Data for God Type'!A:I,3)</f>
        <v>Melee</v>
      </c>
      <c r="N44" s="4" t="str">
        <f>VLOOKUP(Table3[[#This Row],[GOD]],' Raw Data for God Type'!A:I,4)</f>
        <v>Magical</v>
      </c>
    </row>
    <row r="45" spans="1:14" x14ac:dyDescent="0.25">
      <c r="A45" s="4" t="s">
        <v>197</v>
      </c>
      <c r="B45" s="4">
        <v>0.47649999999999998</v>
      </c>
      <c r="C45" s="4">
        <v>11133</v>
      </c>
      <c r="D45" s="4">
        <v>1.82</v>
      </c>
      <c r="E45" s="4">
        <v>14647</v>
      </c>
      <c r="F45" s="4">
        <v>85</v>
      </c>
      <c r="G45" s="4">
        <v>17058</v>
      </c>
      <c r="H45" s="5">
        <f>Table3[[#This Row],[MATCHES]]*Table3[[#This Row],[WIN RATE]]</f>
        <v>5304.8744999999999</v>
      </c>
      <c r="I45" s="5">
        <f>Table3[[#This Row],[MATCHES]]-Table3[[#This Row],[Number of wins]]</f>
        <v>5828.1255000000001</v>
      </c>
      <c r="J45" s="4" t="str">
        <f>VLOOKUP(Table3[[#This Row],[GOD]],' Raw Data for God Type'!A:I,2)</f>
        <v>Norse</v>
      </c>
      <c r="K45" s="4" t="str">
        <f>VLOOKUP(Table3[[#This Row],[GOD]],' Raw Data for God Type'!A:I,5)</f>
        <v>Assassin</v>
      </c>
      <c r="L45" s="4" t="str">
        <f>VLOOKUP(Table3[[#This Row],[GOD]],' Raw Data for God Type'!A:I,6)</f>
        <v>Average</v>
      </c>
      <c r="M45" s="4" t="str">
        <f>VLOOKUP(Table3[[#This Row],[GOD]],' Raw Data for God Type'!A:I,3)</f>
        <v>Melee</v>
      </c>
      <c r="N45" s="4" t="str">
        <f>VLOOKUP(Table3[[#This Row],[GOD]],' Raw Data for God Type'!A:I,4)</f>
        <v>Physical</v>
      </c>
    </row>
    <row r="46" spans="1:14" x14ac:dyDescent="0.25">
      <c r="A46" s="4" t="s">
        <v>121</v>
      </c>
      <c r="B46" s="4">
        <v>0.50700000000000001</v>
      </c>
      <c r="C46" s="4">
        <v>3505</v>
      </c>
      <c r="D46" s="4">
        <v>1.55</v>
      </c>
      <c r="E46" s="4">
        <v>18002</v>
      </c>
      <c r="F46" s="4">
        <v>40</v>
      </c>
      <c r="G46" s="4">
        <v>9761</v>
      </c>
      <c r="H46" s="5">
        <f>Table3[[#This Row],[MATCHES]]*Table3[[#This Row],[WIN RATE]]</f>
        <v>1777.0350000000001</v>
      </c>
      <c r="I46" s="5">
        <f>Table3[[#This Row],[MATCHES]]-Table3[[#This Row],[Number of wins]]</f>
        <v>1727.9649999999999</v>
      </c>
      <c r="J46" s="4" t="str">
        <f>VLOOKUP(Table3[[#This Row],[GOD]],' Raw Data for God Type'!A:I,2)</f>
        <v>Norse</v>
      </c>
      <c r="K46" s="4" t="str">
        <f>VLOOKUP(Table3[[#This Row],[GOD]],' Raw Data for God Type'!A:I,5)</f>
        <v>Mage</v>
      </c>
      <c r="L46" s="4" t="str">
        <f>VLOOKUP(Table3[[#This Row],[GOD]],' Raw Data for God Type'!A:I,6)</f>
        <v>Average</v>
      </c>
      <c r="M46" s="4" t="str">
        <f>VLOOKUP(Table3[[#This Row],[GOD]],' Raw Data for God Type'!A:I,3)</f>
        <v>Melee</v>
      </c>
      <c r="N46" s="4" t="str">
        <f>VLOOKUP(Table3[[#This Row],[GOD]],' Raw Data for God Type'!A:I,4)</f>
        <v>Magical</v>
      </c>
    </row>
    <row r="47" spans="1:14" x14ac:dyDescent="0.25">
      <c r="A47" s="4" t="s">
        <v>134</v>
      </c>
      <c r="B47" s="4">
        <v>0.50449999999999995</v>
      </c>
      <c r="C47" s="4">
        <v>7381</v>
      </c>
      <c r="D47" s="4">
        <v>1.65</v>
      </c>
      <c r="E47" s="4">
        <v>10035</v>
      </c>
      <c r="F47" s="4">
        <v>669</v>
      </c>
      <c r="G47" s="4">
        <v>31995</v>
      </c>
      <c r="H47" s="5">
        <f>Table3[[#This Row],[MATCHES]]*Table3[[#This Row],[WIN RATE]]</f>
        <v>3723.7144999999996</v>
      </c>
      <c r="I47" s="5">
        <f>Table3[[#This Row],[MATCHES]]-Table3[[#This Row],[Number of wins]]</f>
        <v>3657.2855000000004</v>
      </c>
      <c r="J47" s="4" t="str">
        <f>VLOOKUP(Table3[[#This Row],[GOD]],' Raw Data for God Type'!A:I,2)</f>
        <v>Hindu</v>
      </c>
      <c r="K47" s="4" t="str">
        <f>VLOOKUP(Table3[[#This Row],[GOD]],' Raw Data for God Type'!A:I,5)</f>
        <v>Guardian</v>
      </c>
      <c r="L47" s="4" t="str">
        <f>VLOOKUP(Table3[[#This Row],[GOD]],' Raw Data for God Type'!A:I,6)</f>
        <v>Average</v>
      </c>
      <c r="M47" s="4" t="str">
        <f>VLOOKUP(Table3[[#This Row],[GOD]],' Raw Data for God Type'!A:I,3)</f>
        <v>Melee</v>
      </c>
      <c r="N47" s="4" t="str">
        <f>VLOOKUP(Table3[[#This Row],[GOD]],' Raw Data for God Type'!A:I,4)</f>
        <v>Magical</v>
      </c>
    </row>
    <row r="48" spans="1:14" x14ac:dyDescent="0.25">
      <c r="A48" s="4" t="s">
        <v>72</v>
      </c>
      <c r="B48" s="4">
        <v>0.52339999999999998</v>
      </c>
      <c r="C48" s="4">
        <v>9503</v>
      </c>
      <c r="D48" s="4">
        <v>1.86</v>
      </c>
      <c r="E48" s="4">
        <v>11329</v>
      </c>
      <c r="F48" s="4">
        <v>519</v>
      </c>
      <c r="G48" s="4">
        <v>30054</v>
      </c>
      <c r="H48" s="5">
        <f>Table3[[#This Row],[MATCHES]]*Table3[[#This Row],[WIN RATE]]</f>
        <v>4973.8701999999994</v>
      </c>
      <c r="I48" s="5">
        <f>Table3[[#This Row],[MATCHES]]-Table3[[#This Row],[Number of wins]]</f>
        <v>4529.1298000000006</v>
      </c>
      <c r="J48" s="4" t="str">
        <f>VLOOKUP(Table3[[#This Row],[GOD]],' Raw Data for God Type'!A:I,2)</f>
        <v>Egyptian</v>
      </c>
      <c r="K48" s="4" t="str">
        <f>VLOOKUP(Table3[[#This Row],[GOD]],' Raw Data for God Type'!A:I,5)</f>
        <v>Guardian</v>
      </c>
      <c r="L48" s="4" t="str">
        <f>VLOOKUP(Table3[[#This Row],[GOD]],' Raw Data for God Type'!A:I,6)</f>
        <v>Average</v>
      </c>
      <c r="M48" s="4" t="str">
        <f>VLOOKUP(Table3[[#This Row],[GOD]],' Raw Data for God Type'!A:I,3)</f>
        <v>Melee</v>
      </c>
      <c r="N48" s="4" t="str">
        <f>VLOOKUP(Table3[[#This Row],[GOD]],' Raw Data for God Type'!A:I,4)</f>
        <v>Magical</v>
      </c>
    </row>
    <row r="49" spans="1:14" x14ac:dyDescent="0.25">
      <c r="A49" s="4" t="s">
        <v>165</v>
      </c>
      <c r="B49" s="4">
        <v>0.49480000000000002</v>
      </c>
      <c r="C49" s="4">
        <v>17456</v>
      </c>
      <c r="D49" s="4">
        <v>1.7</v>
      </c>
      <c r="E49" s="4">
        <v>15877</v>
      </c>
      <c r="F49" s="4">
        <v>243</v>
      </c>
      <c r="G49" s="4">
        <v>25162</v>
      </c>
      <c r="H49" s="5">
        <f>Table3[[#This Row],[MATCHES]]*Table3[[#This Row],[WIN RATE]]</f>
        <v>8637.2288000000008</v>
      </c>
      <c r="I49" s="5">
        <f>Table3[[#This Row],[MATCHES]]-Table3[[#This Row],[Number of wins]]</f>
        <v>8818.7711999999992</v>
      </c>
      <c r="J49" s="4" t="str">
        <f>VLOOKUP(Table3[[#This Row],[GOD]],' Raw Data for God Type'!A:I,2)</f>
        <v>Babylonian</v>
      </c>
      <c r="K49" s="4" t="str">
        <f>VLOOKUP(Table3[[#This Row],[GOD]],' Raw Data for God Type'!A:I,5)</f>
        <v>Warrior</v>
      </c>
      <c r="L49" s="4" t="str">
        <f>VLOOKUP(Table3[[#This Row],[GOD]],' Raw Data for God Type'!A:I,6)</f>
        <v>Average</v>
      </c>
      <c r="M49" s="4" t="str">
        <f>VLOOKUP(Table3[[#This Row],[GOD]],' Raw Data for God Type'!A:I,3)</f>
        <v>Melee</v>
      </c>
      <c r="N49" s="4" t="str">
        <f>VLOOKUP(Table3[[#This Row],[GOD]],' Raw Data for God Type'!A:I,4)</f>
        <v>Physical</v>
      </c>
    </row>
    <row r="50" spans="1:14" x14ac:dyDescent="0.25">
      <c r="A50" s="4" t="s">
        <v>92</v>
      </c>
      <c r="B50" s="4">
        <v>0.51280000000000003</v>
      </c>
      <c r="C50" s="4">
        <v>5864</v>
      </c>
      <c r="D50" s="4">
        <v>1.83</v>
      </c>
      <c r="E50" s="4">
        <v>13606</v>
      </c>
      <c r="F50" s="4">
        <v>2399</v>
      </c>
      <c r="G50" s="4">
        <v>31218</v>
      </c>
      <c r="H50" s="5">
        <f>Table3[[#This Row],[MATCHES]]*Table3[[#This Row],[WIN RATE]]</f>
        <v>3007.0592000000001</v>
      </c>
      <c r="I50" s="5">
        <f>Table3[[#This Row],[MATCHES]]-Table3[[#This Row],[Number of wins]]</f>
        <v>2856.9407999999999</v>
      </c>
      <c r="J50" s="4" t="str">
        <f>VLOOKUP(Table3[[#This Row],[GOD]],' Raw Data for God Type'!A:I,2)</f>
        <v>Chinese</v>
      </c>
      <c r="K50" s="4" t="str">
        <f>VLOOKUP(Table3[[#This Row],[GOD]],' Raw Data for God Type'!A:I,5)</f>
        <v>Warrior</v>
      </c>
      <c r="L50" s="4" t="str">
        <f>VLOOKUP(Table3[[#This Row],[GOD]],' Raw Data for God Type'!A:I,6)</f>
        <v>Average</v>
      </c>
      <c r="M50" s="4" t="str">
        <f>VLOOKUP(Table3[[#This Row],[GOD]],' Raw Data for God Type'!A:I,3)</f>
        <v>Melee</v>
      </c>
      <c r="N50" s="4" t="str">
        <f>VLOOKUP(Table3[[#This Row],[GOD]],' Raw Data for God Type'!A:I,4)</f>
        <v>Physical</v>
      </c>
    </row>
    <row r="51" spans="1:14" x14ac:dyDescent="0.25">
      <c r="A51" s="4" t="s">
        <v>203</v>
      </c>
      <c r="B51" s="4">
        <v>0.47260000000000002</v>
      </c>
      <c r="C51" s="4">
        <v>7260</v>
      </c>
      <c r="D51" s="4">
        <v>1.6</v>
      </c>
      <c r="E51" s="4">
        <v>17073</v>
      </c>
      <c r="F51" s="4">
        <v>26</v>
      </c>
      <c r="G51" s="4">
        <v>7586</v>
      </c>
      <c r="H51" s="5">
        <f>Table3[[#This Row],[MATCHES]]*Table3[[#This Row],[WIN RATE]]</f>
        <v>3431.076</v>
      </c>
      <c r="I51" s="5">
        <f>Table3[[#This Row],[MATCHES]]-Table3[[#This Row],[Number of wins]]</f>
        <v>3828.924</v>
      </c>
      <c r="J51" s="4" t="str">
        <f>VLOOKUP(Table3[[#This Row],[GOD]],' Raw Data for God Type'!A:I,2)</f>
        <v>Japanese</v>
      </c>
      <c r="K51" s="4" t="str">
        <f>VLOOKUP(Table3[[#This Row],[GOD]],' Raw Data for God Type'!A:I,5)</f>
        <v>Hunter</v>
      </c>
      <c r="L51" s="4" t="str">
        <f>VLOOKUP(Table3[[#This Row],[GOD]],' Raw Data for God Type'!A:I,6)</f>
        <v>Easy</v>
      </c>
      <c r="M51" s="4" t="str">
        <f>VLOOKUP(Table3[[#This Row],[GOD]],' Raw Data for God Type'!A:I,3)</f>
        <v>Ranged</v>
      </c>
      <c r="N51" s="4" t="str">
        <f>VLOOKUP(Table3[[#This Row],[GOD]],' Raw Data for God Type'!A:I,4)</f>
        <v>Physical</v>
      </c>
    </row>
    <row r="52" spans="1:14" x14ac:dyDescent="0.25">
      <c r="A52" s="4" t="s">
        <v>26</v>
      </c>
      <c r="B52" s="4">
        <v>0.54190000000000005</v>
      </c>
      <c r="C52" s="4">
        <v>7462</v>
      </c>
      <c r="D52" s="4">
        <v>1.83</v>
      </c>
      <c r="E52" s="4">
        <v>18149</v>
      </c>
      <c r="F52" s="4">
        <v>757</v>
      </c>
      <c r="G52" s="4">
        <v>17732</v>
      </c>
      <c r="H52" s="5">
        <f>Table3[[#This Row],[MATCHES]]*Table3[[#This Row],[WIN RATE]]</f>
        <v>4043.6578000000004</v>
      </c>
      <c r="I52" s="5">
        <f>Table3[[#This Row],[MATCHES]]-Table3[[#This Row],[Number of wins]]</f>
        <v>3418.3421999999996</v>
      </c>
      <c r="J52" s="4" t="str">
        <f>VLOOKUP(Table3[[#This Row],[GOD]],' Raw Data for God Type'!A:I,2)</f>
        <v>Greek</v>
      </c>
      <c r="K52" s="4" t="str">
        <f>VLOOKUP(Table3[[#This Row],[GOD]],' Raw Data for God Type'!A:I,5)</f>
        <v>Mage</v>
      </c>
      <c r="L52" s="4" t="str">
        <f>VLOOKUP(Table3[[#This Row],[GOD]],' Raw Data for God Type'!A:I,6)</f>
        <v>Easy</v>
      </c>
      <c r="M52" s="4" t="str">
        <f>VLOOKUP(Table3[[#This Row],[GOD]],' Raw Data for God Type'!A:I,3)</f>
        <v>Ranged</v>
      </c>
      <c r="N52" s="4" t="str">
        <f>VLOOKUP(Table3[[#This Row],[GOD]],' Raw Data for God Type'!A:I,4)</f>
        <v>Magical</v>
      </c>
    </row>
    <row r="53" spans="1:14" x14ac:dyDescent="0.25">
      <c r="A53" s="4" t="s">
        <v>183</v>
      </c>
      <c r="B53" s="4">
        <v>0.4798</v>
      </c>
      <c r="C53" s="4">
        <v>5181</v>
      </c>
      <c r="D53" s="4">
        <v>1.56</v>
      </c>
      <c r="E53" s="4">
        <v>17833</v>
      </c>
      <c r="F53" s="4">
        <v>90</v>
      </c>
      <c r="G53" s="4">
        <v>6851</v>
      </c>
      <c r="H53" s="5">
        <f>Table3[[#This Row],[MATCHES]]*Table3[[#This Row],[WIN RATE]]</f>
        <v>2485.8438000000001</v>
      </c>
      <c r="I53" s="5">
        <f>Table3[[#This Row],[MATCHES]]-Table3[[#This Row],[Number of wins]]</f>
        <v>2695.1561999999999</v>
      </c>
      <c r="J53" s="4" t="str">
        <f>VLOOKUP(Table3[[#This Row],[GOD]],' Raw Data for God Type'!A:I,2)</f>
        <v>Chinese</v>
      </c>
      <c r="K53" s="4" t="str">
        <f>VLOOKUP(Table3[[#This Row],[GOD]],' Raw Data for God Type'!A:I,5)</f>
        <v>Mage</v>
      </c>
      <c r="L53" s="4" t="str">
        <f>VLOOKUP(Table3[[#This Row],[GOD]],' Raw Data for God Type'!A:I,6)</f>
        <v>Easy</v>
      </c>
      <c r="M53" s="4" t="str">
        <f>VLOOKUP(Table3[[#This Row],[GOD]],' Raw Data for God Type'!A:I,3)</f>
        <v>Ranged</v>
      </c>
      <c r="N53" s="4" t="str">
        <f>VLOOKUP(Table3[[#This Row],[GOD]],' Raw Data for God Type'!A:I,4)</f>
        <v>Magical</v>
      </c>
    </row>
    <row r="54" spans="1:14" x14ac:dyDescent="0.25">
      <c r="A54" s="4" t="s">
        <v>205</v>
      </c>
      <c r="B54" s="4">
        <v>0.47220000000000001</v>
      </c>
      <c r="C54" s="4">
        <v>8787</v>
      </c>
      <c r="D54" s="4">
        <v>1.45</v>
      </c>
      <c r="E54" s="4">
        <v>17692</v>
      </c>
      <c r="F54" s="4">
        <v>28</v>
      </c>
      <c r="G54" s="4">
        <v>8755</v>
      </c>
      <c r="H54" s="5">
        <f>Table3[[#This Row],[MATCHES]]*Table3[[#This Row],[WIN RATE]]</f>
        <v>4149.2214000000004</v>
      </c>
      <c r="I54" s="5">
        <f>Table3[[#This Row],[MATCHES]]-Table3[[#This Row],[Number of wins]]</f>
        <v>4637.7785999999996</v>
      </c>
      <c r="J54" s="4" t="str">
        <f>VLOOKUP(Table3[[#This Row],[GOD]],' Raw Data for God Type'!A:I,2)</f>
        <v>Norse</v>
      </c>
      <c r="K54" s="4" t="str">
        <f>VLOOKUP(Table3[[#This Row],[GOD]],' Raw Data for God Type'!A:I,5)</f>
        <v>Hunter</v>
      </c>
      <c r="L54" s="4" t="str">
        <f>VLOOKUP(Table3[[#This Row],[GOD]],' Raw Data for God Type'!A:I,6)</f>
        <v>Hard</v>
      </c>
      <c r="M54" s="4" t="str">
        <f>VLOOKUP(Table3[[#This Row],[GOD]],' Raw Data for God Type'!A:I,3)</f>
        <v>Ranged</v>
      </c>
      <c r="N54" s="4" t="str">
        <f>VLOOKUP(Table3[[#This Row],[GOD]],' Raw Data for God Type'!A:I,4)</f>
        <v>Physical</v>
      </c>
    </row>
    <row r="55" spans="1:14" x14ac:dyDescent="0.25">
      <c r="A55" s="4" t="s">
        <v>235</v>
      </c>
      <c r="B55" s="4">
        <v>0.45400000000000001</v>
      </c>
      <c r="C55" s="4">
        <v>4015</v>
      </c>
      <c r="D55" s="4">
        <v>1.27</v>
      </c>
      <c r="E55" s="4">
        <v>13802</v>
      </c>
      <c r="F55" s="4">
        <v>5199</v>
      </c>
      <c r="G55" s="4">
        <v>11514</v>
      </c>
      <c r="H55" s="5">
        <f>Table3[[#This Row],[MATCHES]]*Table3[[#This Row],[WIN RATE]]</f>
        <v>1822.81</v>
      </c>
      <c r="I55" s="5">
        <f>Table3[[#This Row],[MATCHES]]-Table3[[#This Row],[Number of wins]]</f>
        <v>2192.19</v>
      </c>
      <c r="J55" s="4" t="str">
        <f>VLOOKUP(Table3[[#This Row],[GOD]],' Raw Data for God Type'!A:I,2)</f>
        <v>Norse</v>
      </c>
      <c r="K55" s="4" t="str">
        <f>VLOOKUP(Table3[[#This Row],[GOD]],' Raw Data for God Type'!A:I,5)</f>
        <v>Mage</v>
      </c>
      <c r="L55" s="4" t="str">
        <f>VLOOKUP(Table3[[#This Row],[GOD]],' Raw Data for God Type'!A:I,6)</f>
        <v>Hard</v>
      </c>
      <c r="M55" s="4" t="str">
        <f>VLOOKUP(Table3[[#This Row],[GOD]],' Raw Data for God Type'!A:I,3)</f>
        <v>Ranged</v>
      </c>
      <c r="N55" s="4" t="str">
        <f>VLOOKUP(Table3[[#This Row],[GOD]],' Raw Data for God Type'!A:I,4)</f>
        <v>Magical</v>
      </c>
    </row>
    <row r="56" spans="1:14" x14ac:dyDescent="0.25">
      <c r="A56" s="4" t="s">
        <v>54</v>
      </c>
      <c r="B56" s="4">
        <v>0.52890000000000004</v>
      </c>
      <c r="C56" s="4">
        <v>5061</v>
      </c>
      <c r="D56" s="4">
        <v>1.59</v>
      </c>
      <c r="E56" s="4">
        <v>19368</v>
      </c>
      <c r="F56" s="4">
        <v>138</v>
      </c>
      <c r="G56" s="4">
        <v>6386</v>
      </c>
      <c r="H56" s="5">
        <f>Table3[[#This Row],[MATCHES]]*Table3[[#This Row],[WIN RATE]]</f>
        <v>2676.7629000000002</v>
      </c>
      <c r="I56" s="5">
        <f>Table3[[#This Row],[MATCHES]]-Table3[[#This Row],[Number of wins]]</f>
        <v>2384.2370999999998</v>
      </c>
      <c r="J56" s="4" t="str">
        <f>VLOOKUP(Table3[[#This Row],[GOD]],' Raw Data for God Type'!A:I,2)</f>
        <v>Greek</v>
      </c>
      <c r="K56" s="4" t="str">
        <f>VLOOKUP(Table3[[#This Row],[GOD]],' Raw Data for God Type'!A:I,5)</f>
        <v>Mage</v>
      </c>
      <c r="L56" s="4" t="str">
        <f>VLOOKUP(Table3[[#This Row],[GOD]],' Raw Data for God Type'!A:I,6)</f>
        <v>Average</v>
      </c>
      <c r="M56" s="4" t="str">
        <f>VLOOKUP(Table3[[#This Row],[GOD]],' Raw Data for God Type'!A:I,3)</f>
        <v>Ranged</v>
      </c>
      <c r="N56" s="4" t="str">
        <f>VLOOKUP(Table3[[#This Row],[GOD]],' Raw Data for God Type'!A:I,4)</f>
        <v>Magical</v>
      </c>
    </row>
    <row r="57" spans="1:14" x14ac:dyDescent="0.25">
      <c r="A57" s="4" t="s">
        <v>239</v>
      </c>
      <c r="B57" s="4">
        <v>0.439</v>
      </c>
      <c r="C57" s="4">
        <v>6915</v>
      </c>
      <c r="D57" s="4">
        <v>1.86</v>
      </c>
      <c r="E57" s="4">
        <v>13795</v>
      </c>
      <c r="F57" s="4">
        <v>192</v>
      </c>
      <c r="G57" s="4">
        <v>32687</v>
      </c>
      <c r="H57" s="5">
        <f>Table3[[#This Row],[MATCHES]]*Table3[[#This Row],[WIN RATE]]</f>
        <v>3035.6849999999999</v>
      </c>
      <c r="I57" s="5">
        <f>Table3[[#This Row],[MATCHES]]-Table3[[#This Row],[Number of wins]]</f>
        <v>3879.3150000000001</v>
      </c>
      <c r="J57" s="4" t="str">
        <f>VLOOKUP(Table3[[#This Row],[GOD]],' Raw Data for God Type'!A:I,2)</f>
        <v>Roman</v>
      </c>
      <c r="K57" s="4" t="str">
        <f>VLOOKUP(Table3[[#This Row],[GOD]],' Raw Data for God Type'!A:I,5)</f>
        <v>Warrior</v>
      </c>
      <c r="L57" s="4" t="str">
        <f>VLOOKUP(Table3[[#This Row],[GOD]],' Raw Data for God Type'!A:I,6)</f>
        <v>Easy</v>
      </c>
      <c r="M57" s="4" t="str">
        <f>VLOOKUP(Table3[[#This Row],[GOD]],' Raw Data for God Type'!A:I,3)</f>
        <v>Melee</v>
      </c>
      <c r="N57" s="4" t="str">
        <f>VLOOKUP(Table3[[#This Row],[GOD]],' Raw Data for God Type'!A:I,4)</f>
        <v>Physical</v>
      </c>
    </row>
    <row r="58" spans="1:14" x14ac:dyDescent="0.25">
      <c r="A58" s="4" t="s">
        <v>82</v>
      </c>
      <c r="B58" s="4">
        <v>0.5151</v>
      </c>
      <c r="C58" s="4">
        <v>12381</v>
      </c>
      <c r="D58" s="4">
        <v>1.98</v>
      </c>
      <c r="E58" s="4">
        <v>11321</v>
      </c>
      <c r="F58" s="4">
        <v>2968</v>
      </c>
      <c r="G58" s="4">
        <v>28676</v>
      </c>
      <c r="H58" s="5">
        <f>Table3[[#This Row],[MATCHES]]*Table3[[#This Row],[WIN RATE]]</f>
        <v>6377.4530999999997</v>
      </c>
      <c r="I58" s="5">
        <f>Table3[[#This Row],[MATCHES]]-Table3[[#This Row],[Number of wins]]</f>
        <v>6003.5469000000003</v>
      </c>
      <c r="J58" s="4" t="str">
        <f>VLOOKUP(Table3[[#This Row],[GOD]],' Raw Data for God Type'!A:I,2)</f>
        <v>Egyptian</v>
      </c>
      <c r="K58" s="4" t="str">
        <f>VLOOKUP(Table3[[#This Row],[GOD]],' Raw Data for God Type'!A:I,5)</f>
        <v>Warrior</v>
      </c>
      <c r="L58" s="4" t="str">
        <f>VLOOKUP(Table3[[#This Row],[GOD]],' Raw Data for God Type'!A:I,6)</f>
        <v>Average</v>
      </c>
      <c r="M58" s="4" t="str">
        <f>VLOOKUP(Table3[[#This Row],[GOD]],' Raw Data for God Type'!A:I,3)</f>
        <v>Melee</v>
      </c>
      <c r="N58" s="4" t="str">
        <f>VLOOKUP(Table3[[#This Row],[GOD]],' Raw Data for God Type'!A:I,4)</f>
        <v>Physical</v>
      </c>
    </row>
    <row r="59" spans="1:14" x14ac:dyDescent="0.25">
      <c r="A59" s="4" t="s">
        <v>173</v>
      </c>
      <c r="B59" s="4">
        <v>0.48870000000000002</v>
      </c>
      <c r="C59" s="4">
        <v>10754</v>
      </c>
      <c r="D59" s="4">
        <v>1.73</v>
      </c>
      <c r="E59" s="4">
        <v>17017</v>
      </c>
      <c r="F59" s="4">
        <v>26</v>
      </c>
      <c r="G59" s="4">
        <v>7988</v>
      </c>
      <c r="H59" s="5">
        <f>Table3[[#This Row],[MATCHES]]*Table3[[#This Row],[WIN RATE]]</f>
        <v>5255.4798000000001</v>
      </c>
      <c r="I59" s="5">
        <f>Table3[[#This Row],[MATCHES]]-Table3[[#This Row],[Number of wins]]</f>
        <v>5498.5201999999999</v>
      </c>
      <c r="J59" s="4" t="str">
        <f>VLOOKUP(Table3[[#This Row],[GOD]],' Raw Data for God Type'!A:I,2)</f>
        <v>Chinese</v>
      </c>
      <c r="K59" s="4" t="str">
        <f>VLOOKUP(Table3[[#This Row],[GOD]],' Raw Data for God Type'!A:I,5)</f>
        <v>Hunter</v>
      </c>
      <c r="L59" s="4" t="str">
        <f>VLOOKUP(Table3[[#This Row],[GOD]],' Raw Data for God Type'!A:I,6)</f>
        <v>Hard</v>
      </c>
      <c r="M59" s="4" t="str">
        <f>VLOOKUP(Table3[[#This Row],[GOD]],' Raw Data for God Type'!A:I,3)</f>
        <v>Ranged</v>
      </c>
      <c r="N59" s="4" t="str">
        <f>VLOOKUP(Table3[[#This Row],[GOD]],' Raw Data for God Type'!A:I,4)</f>
        <v>Physical</v>
      </c>
    </row>
    <row r="60" spans="1:14" x14ac:dyDescent="0.25">
      <c r="A60" s="4" t="s">
        <v>187</v>
      </c>
      <c r="B60" s="4">
        <v>0.47849999999999998</v>
      </c>
      <c r="C60" s="4">
        <v>4541</v>
      </c>
      <c r="D60" s="4">
        <v>1.75</v>
      </c>
      <c r="E60" s="4">
        <v>16072</v>
      </c>
      <c r="F60" s="4">
        <v>21</v>
      </c>
      <c r="G60" s="4">
        <v>10364</v>
      </c>
      <c r="H60" s="5">
        <f>Table3[[#This Row],[MATCHES]]*Table3[[#This Row],[WIN RATE]]</f>
        <v>2172.8685</v>
      </c>
      <c r="I60" s="5">
        <f>Table3[[#This Row],[MATCHES]]-Table3[[#This Row],[Number of wins]]</f>
        <v>2368.1315</v>
      </c>
      <c r="J60" s="4" t="str">
        <f>VLOOKUP(Table3[[#This Row],[GOD]],' Raw Data for God Type'!A:I,2)</f>
        <v>Maya</v>
      </c>
      <c r="K60" s="4" t="str">
        <f>VLOOKUP(Table3[[#This Row],[GOD]],' Raw Data for God Type'!A:I,5)</f>
        <v>Assassin</v>
      </c>
      <c r="L60" s="4" t="str">
        <f>VLOOKUP(Table3[[#This Row],[GOD]],' Raw Data for God Type'!A:I,6)</f>
        <v>Easy</v>
      </c>
      <c r="M60" s="4" t="str">
        <f>VLOOKUP(Table3[[#This Row],[GOD]],' Raw Data for God Type'!A:I,3)</f>
        <v>Melee</v>
      </c>
      <c r="N60" s="4" t="str">
        <f>VLOOKUP(Table3[[#This Row],[GOD]],' Raw Data for God Type'!A:I,4)</f>
        <v>Physical</v>
      </c>
    </row>
    <row r="61" spans="1:14" x14ac:dyDescent="0.25">
      <c r="A61" s="4" t="s">
        <v>88</v>
      </c>
      <c r="B61" s="4">
        <v>0.51359999999999995</v>
      </c>
      <c r="C61" s="4">
        <v>17735</v>
      </c>
      <c r="D61" s="4">
        <v>1.45</v>
      </c>
      <c r="E61" s="4">
        <v>17249</v>
      </c>
      <c r="F61" s="4">
        <v>38</v>
      </c>
      <c r="G61" s="4">
        <v>7664</v>
      </c>
      <c r="H61" s="5">
        <f>Table3[[#This Row],[MATCHES]]*Table3[[#This Row],[WIN RATE]]</f>
        <v>9108.6959999999999</v>
      </c>
      <c r="I61" s="5">
        <f>Table3[[#This Row],[MATCHES]]-Table3[[#This Row],[Number of wins]]</f>
        <v>8626.3040000000001</v>
      </c>
      <c r="J61" s="4" t="str">
        <f>VLOOKUP(Table3[[#This Row],[GOD]],' Raw Data for God Type'!A:I,2)</f>
        <v>Japanese</v>
      </c>
      <c r="K61" s="4" t="str">
        <f>VLOOKUP(Table3[[#This Row],[GOD]],' Raw Data for God Type'!A:I,5)</f>
        <v>Hunter</v>
      </c>
      <c r="L61" s="4" t="str">
        <f>VLOOKUP(Table3[[#This Row],[GOD]],' Raw Data for God Type'!A:I,6)</f>
        <v>Average</v>
      </c>
      <c r="M61" s="4" t="str">
        <f>VLOOKUP(Table3[[#This Row],[GOD]],' Raw Data for God Type'!A:I,3)</f>
        <v>Ranged</v>
      </c>
      <c r="N61" s="4" t="str">
        <f>VLOOKUP(Table3[[#This Row],[GOD]],' Raw Data for God Type'!A:I,4)</f>
        <v>Physical</v>
      </c>
    </row>
    <row r="62" spans="1:14" x14ac:dyDescent="0.25">
      <c r="A62" s="4" t="s">
        <v>231</v>
      </c>
      <c r="B62" s="4">
        <v>0.45700000000000002</v>
      </c>
      <c r="C62" s="4">
        <v>8322</v>
      </c>
      <c r="D62" s="4">
        <v>1.51</v>
      </c>
      <c r="E62" s="4">
        <v>16298</v>
      </c>
      <c r="F62" s="4">
        <v>124</v>
      </c>
      <c r="G62" s="4">
        <v>6046</v>
      </c>
      <c r="H62" s="5">
        <f>Table3[[#This Row],[MATCHES]]*Table3[[#This Row],[WIN RATE]]</f>
        <v>3803.154</v>
      </c>
      <c r="I62" s="5">
        <f>Table3[[#This Row],[MATCHES]]-Table3[[#This Row],[Number of wins]]</f>
        <v>4518.8459999999995</v>
      </c>
      <c r="J62" s="4" t="str">
        <f>VLOOKUP(Table3[[#This Row],[GOD]],' Raw Data for God Type'!A:I,2)</f>
        <v>Roman</v>
      </c>
      <c r="K62" s="4" t="str">
        <f>VLOOKUP(Table3[[#This Row],[GOD]],' Raw Data for God Type'!A:I,5)</f>
        <v>Mage</v>
      </c>
      <c r="L62" s="4" t="str">
        <f>VLOOKUP(Table3[[#This Row],[GOD]],' Raw Data for God Type'!A:I,6)</f>
        <v>Average</v>
      </c>
      <c r="M62" s="4" t="str">
        <f>VLOOKUP(Table3[[#This Row],[GOD]],' Raw Data for God Type'!A:I,3)</f>
        <v>Ranged</v>
      </c>
      <c r="N62" s="4" t="str">
        <f>VLOOKUP(Table3[[#This Row],[GOD]],' Raw Data for God Type'!A:I,4)</f>
        <v>Magical</v>
      </c>
    </row>
    <row r="63" spans="1:14" x14ac:dyDescent="0.25">
      <c r="A63" s="4" t="s">
        <v>74</v>
      </c>
      <c r="B63" s="4">
        <v>0.52339999999999998</v>
      </c>
      <c r="C63" s="4">
        <v>6683</v>
      </c>
      <c r="D63" s="4">
        <v>1.68</v>
      </c>
      <c r="E63" s="4">
        <v>18129</v>
      </c>
      <c r="F63" s="4">
        <v>24</v>
      </c>
      <c r="G63" s="4">
        <v>8318</v>
      </c>
      <c r="H63" s="5">
        <f>Table3[[#This Row],[MATCHES]]*Table3[[#This Row],[WIN RATE]]</f>
        <v>3497.8822</v>
      </c>
      <c r="I63" s="5">
        <f>Table3[[#This Row],[MATCHES]]-Table3[[#This Row],[Number of wins]]</f>
        <v>3185.1178</v>
      </c>
      <c r="J63" s="4" t="str">
        <f>VLOOKUP(Table3[[#This Row],[GOD]],' Raw Data for God Type'!A:I,2)</f>
        <v>Chinese</v>
      </c>
      <c r="K63" s="4" t="str">
        <f>VLOOKUP(Table3[[#This Row],[GOD]],' Raw Data for God Type'!A:I,5)</f>
        <v>Hunter</v>
      </c>
      <c r="L63" s="4" t="str">
        <f>VLOOKUP(Table3[[#This Row],[GOD]],' Raw Data for God Type'!A:I,6)</f>
        <v>Easy</v>
      </c>
      <c r="M63" s="4" t="str">
        <f>VLOOKUP(Table3[[#This Row],[GOD]],' Raw Data for God Type'!A:I,3)</f>
        <v>Ranged</v>
      </c>
      <c r="N63" s="4" t="str">
        <f>VLOOKUP(Table3[[#This Row],[GOD]],' Raw Data for God Type'!A:I,4)</f>
        <v>Physical</v>
      </c>
    </row>
    <row r="64" spans="1:14" x14ac:dyDescent="0.25">
      <c r="A64" s="4" t="s">
        <v>98</v>
      </c>
      <c r="B64" s="4">
        <v>0.51070000000000004</v>
      </c>
      <c r="C64" s="4">
        <v>11213</v>
      </c>
      <c r="D64" s="4">
        <v>2.0699999999999998</v>
      </c>
      <c r="E64" s="4">
        <v>16710</v>
      </c>
      <c r="F64" s="4">
        <v>311</v>
      </c>
      <c r="G64" s="4">
        <v>30334</v>
      </c>
      <c r="H64" s="5">
        <f>Table3[[#This Row],[MATCHES]]*Table3[[#This Row],[WIN RATE]]</f>
        <v>5726.4791000000005</v>
      </c>
      <c r="I64" s="5">
        <f>Table3[[#This Row],[MATCHES]]-Table3[[#This Row],[Number of wins]]</f>
        <v>5486.5208999999995</v>
      </c>
      <c r="J64" s="4" t="str">
        <f>VLOOKUP(Table3[[#This Row],[GOD]],' Raw Data for God Type'!A:I,2)</f>
        <v>Norse</v>
      </c>
      <c r="K64" s="4" t="str">
        <f>VLOOKUP(Table3[[#This Row],[GOD]],' Raw Data for God Type'!A:I,5)</f>
        <v>Guardian</v>
      </c>
      <c r="L64" s="4" t="str">
        <f>VLOOKUP(Table3[[#This Row],[GOD]],' Raw Data for God Type'!A:I,6)</f>
        <v>Average</v>
      </c>
      <c r="M64" s="4" t="str">
        <f>VLOOKUP(Table3[[#This Row],[GOD]],' Raw Data for God Type'!A:I,3)</f>
        <v>Ranged</v>
      </c>
      <c r="N64" s="4" t="str">
        <f>VLOOKUP(Table3[[#This Row],[GOD]],' Raw Data for God Type'!A:I,4)</f>
        <v>Magical</v>
      </c>
    </row>
    <row r="65" spans="1:14" x14ac:dyDescent="0.25">
      <c r="A65" s="4" t="s">
        <v>34</v>
      </c>
      <c r="B65" s="4">
        <v>0.53669999999999995</v>
      </c>
      <c r="C65" s="4">
        <v>7738</v>
      </c>
      <c r="D65" s="4">
        <v>2.06</v>
      </c>
      <c r="E65" s="4">
        <v>17167</v>
      </c>
      <c r="F65" s="4">
        <v>22</v>
      </c>
      <c r="G65" s="4">
        <v>13965</v>
      </c>
      <c r="H65" s="5">
        <f>Table3[[#This Row],[MATCHES]]*Table3[[#This Row],[WIN RATE]]</f>
        <v>4152.9845999999998</v>
      </c>
      <c r="I65" s="5">
        <f>Table3[[#This Row],[MATCHES]]-Table3[[#This Row],[Number of wins]]</f>
        <v>3585.0154000000002</v>
      </c>
      <c r="J65" s="4" t="str">
        <f>VLOOKUP(Table3[[#This Row],[GOD]],' Raw Data for God Type'!A:I,2)</f>
        <v>Hindu</v>
      </c>
      <c r="K65" s="4" t="str">
        <f>VLOOKUP(Table3[[#This Row],[GOD]],' Raw Data for God Type'!A:I,5)</f>
        <v>Assassin</v>
      </c>
      <c r="L65" s="4" t="str">
        <f>VLOOKUP(Table3[[#This Row],[GOD]],' Raw Data for God Type'!A:I,6)</f>
        <v>Average</v>
      </c>
      <c r="M65" s="4" t="str">
        <f>VLOOKUP(Table3[[#This Row],[GOD]],' Raw Data for God Type'!A:I,3)</f>
        <v>Melee</v>
      </c>
      <c r="N65" s="4" t="str">
        <f>VLOOKUP(Table3[[#This Row],[GOD]],' Raw Data for God Type'!A:I,4)</f>
        <v>Physical</v>
      </c>
    </row>
    <row r="66" spans="1:14" x14ac:dyDescent="0.25">
      <c r="A66" s="4" t="s">
        <v>20</v>
      </c>
      <c r="B66" s="4">
        <v>0.54379999999999995</v>
      </c>
      <c r="C66" s="4">
        <v>9112</v>
      </c>
      <c r="D66" s="4">
        <v>1.92</v>
      </c>
      <c r="E66" s="4">
        <v>7412</v>
      </c>
      <c r="F66" s="4">
        <v>674</v>
      </c>
      <c r="G66" s="4">
        <v>28565</v>
      </c>
      <c r="H66" s="5">
        <f>Table3[[#This Row],[MATCHES]]*Table3[[#This Row],[WIN RATE]]</f>
        <v>4955.1055999999999</v>
      </c>
      <c r="I66" s="5">
        <f>Table3[[#This Row],[MATCHES]]-Table3[[#This Row],[Number of wins]]</f>
        <v>4156.8944000000001</v>
      </c>
      <c r="J66" s="4" t="str">
        <f>VLOOKUP(Table3[[#This Row],[GOD]],' Raw Data for God Type'!A:I,2)</f>
        <v>Egyptian</v>
      </c>
      <c r="K66" s="4" t="str">
        <f>VLOOKUP(Table3[[#This Row],[GOD]],' Raw Data for God Type'!A:I,5)</f>
        <v>Guardian</v>
      </c>
      <c r="L66" s="4" t="str">
        <f>VLOOKUP(Table3[[#This Row],[GOD]],' Raw Data for God Type'!A:I,6)</f>
        <v>Average</v>
      </c>
      <c r="M66" s="4" t="str">
        <f>VLOOKUP(Table3[[#This Row],[GOD]],' Raw Data for God Type'!A:I,3)</f>
        <v>Melee</v>
      </c>
      <c r="N66" s="4" t="str">
        <f>VLOOKUP(Table3[[#This Row],[GOD]],' Raw Data for God Type'!A:I,4)</f>
        <v>Magical</v>
      </c>
    </row>
    <row r="67" spans="1:14" x14ac:dyDescent="0.25">
      <c r="A67" s="4" t="s">
        <v>229</v>
      </c>
      <c r="B67" s="4">
        <v>0.45750000000000002</v>
      </c>
      <c r="C67" s="4">
        <v>10996</v>
      </c>
      <c r="D67" s="4">
        <v>1.49</v>
      </c>
      <c r="E67" s="4">
        <v>16175</v>
      </c>
      <c r="F67" s="4">
        <v>43</v>
      </c>
      <c r="G67" s="4">
        <v>30185</v>
      </c>
      <c r="H67" s="5">
        <f>Table3[[#This Row],[MATCHES]]*Table3[[#This Row],[WIN RATE]]</f>
        <v>5030.67</v>
      </c>
      <c r="I67" s="5">
        <f>Table3[[#This Row],[MATCHES]]-Table3[[#This Row],[Number of wins]]</f>
        <v>5965.33</v>
      </c>
      <c r="J67" s="4" t="str">
        <f>VLOOKUP(Table3[[#This Row],[GOD]],' Raw Data for God Type'!A:I,2)</f>
        <v>Arthurian</v>
      </c>
      <c r="K67" s="4" t="str">
        <f>VLOOKUP(Table3[[#This Row],[GOD]],' Raw Data for God Type'!A:I,5)</f>
        <v>Warrior</v>
      </c>
      <c r="L67" s="4" t="str">
        <f>VLOOKUP(Table3[[#This Row],[GOD]],' Raw Data for God Type'!A:I,6)</f>
        <v>Average</v>
      </c>
      <c r="M67" s="4" t="str">
        <f>VLOOKUP(Table3[[#This Row],[GOD]],' Raw Data for God Type'!A:I,3)</f>
        <v>Melee</v>
      </c>
      <c r="N67" s="4" t="str">
        <f>VLOOKUP(Table3[[#This Row],[GOD]],' Raw Data for God Type'!A:I,4)</f>
        <v>Physical</v>
      </c>
    </row>
    <row r="68" spans="1:14" x14ac:dyDescent="0.25">
      <c r="A68" s="4" t="s">
        <v>68</v>
      </c>
      <c r="B68" s="4">
        <v>0.52569999999999995</v>
      </c>
      <c r="C68" s="4">
        <v>7974</v>
      </c>
      <c r="D68" s="4">
        <v>1.56</v>
      </c>
      <c r="E68" s="4">
        <v>19629</v>
      </c>
      <c r="F68" s="4">
        <v>64</v>
      </c>
      <c r="G68" s="4">
        <v>6932</v>
      </c>
      <c r="H68" s="5">
        <f>Table3[[#This Row],[MATCHES]]*Table3[[#This Row],[WIN RATE]]</f>
        <v>4191.9317999999994</v>
      </c>
      <c r="I68" s="5">
        <f>Table3[[#This Row],[MATCHES]]-Table3[[#This Row],[Number of wins]]</f>
        <v>3782.0682000000006</v>
      </c>
      <c r="J68" s="4" t="str">
        <f>VLOOKUP(Table3[[#This Row],[GOD]],' Raw Data for God Type'!A:I,2)</f>
        <v>Maya</v>
      </c>
      <c r="K68" s="4" t="str">
        <f>VLOOKUP(Table3[[#This Row],[GOD]],' Raw Data for God Type'!A:I,5)</f>
        <v>Mage</v>
      </c>
      <c r="L68" s="4" t="str">
        <f>VLOOKUP(Table3[[#This Row],[GOD]],' Raw Data for God Type'!A:I,6)</f>
        <v>Easy</v>
      </c>
      <c r="M68" s="4" t="str">
        <f>VLOOKUP(Table3[[#This Row],[GOD]],' Raw Data for God Type'!A:I,3)</f>
        <v>Ranged</v>
      </c>
      <c r="N68" s="4" t="str">
        <f>VLOOKUP(Table3[[#This Row],[GOD]],' Raw Data for God Type'!A:I,4)</f>
        <v>Magical</v>
      </c>
    </row>
    <row r="69" spans="1:14" x14ac:dyDescent="0.25">
      <c r="A69" s="4" t="s">
        <v>151</v>
      </c>
      <c r="B69" s="4">
        <v>0.49819999999999998</v>
      </c>
      <c r="C69" s="4">
        <v>5620</v>
      </c>
      <c r="D69" s="4">
        <v>2</v>
      </c>
      <c r="E69" s="4">
        <v>8070</v>
      </c>
      <c r="F69" s="4">
        <v>531</v>
      </c>
      <c r="G69" s="4">
        <v>32145</v>
      </c>
      <c r="H69" s="5">
        <f>Table3[[#This Row],[MATCHES]]*Table3[[#This Row],[WIN RATE]]</f>
        <v>2799.884</v>
      </c>
      <c r="I69" s="5">
        <f>Table3[[#This Row],[MATCHES]]-Table3[[#This Row],[Number of wins]]</f>
        <v>2820.116</v>
      </c>
      <c r="J69" s="4" t="str">
        <f>VLOOKUP(Table3[[#This Row],[GOD]],' Raw Data for God Type'!A:I,2)</f>
        <v>Hindu</v>
      </c>
      <c r="K69" s="4" t="str">
        <f>VLOOKUP(Table3[[#This Row],[GOD]],' Raw Data for God Type'!A:I,5)</f>
        <v>Guardian</v>
      </c>
      <c r="L69" s="4" t="str">
        <f>VLOOKUP(Table3[[#This Row],[GOD]],' Raw Data for God Type'!A:I,6)</f>
        <v>Easy</v>
      </c>
      <c r="M69" s="4" t="str">
        <f>VLOOKUP(Table3[[#This Row],[GOD]],' Raw Data for God Type'!A:I,3)</f>
        <v>Melee</v>
      </c>
      <c r="N69" s="4" t="str">
        <f>VLOOKUP(Table3[[#This Row],[GOD]],' Raw Data for God Type'!A:I,4)</f>
        <v>Magical</v>
      </c>
    </row>
    <row r="70" spans="1:14" x14ac:dyDescent="0.25">
      <c r="A70" s="4" t="s">
        <v>189</v>
      </c>
      <c r="B70" s="4">
        <v>0.4783</v>
      </c>
      <c r="C70" s="4">
        <v>3360</v>
      </c>
      <c r="D70" s="4">
        <v>1.9</v>
      </c>
      <c r="E70" s="4">
        <v>12836</v>
      </c>
      <c r="F70" s="4">
        <v>485</v>
      </c>
      <c r="G70" s="4">
        <v>39891</v>
      </c>
      <c r="H70" s="5">
        <f>Table3[[#This Row],[MATCHES]]*Table3[[#This Row],[WIN RATE]]</f>
        <v>1607.088</v>
      </c>
      <c r="I70" s="5">
        <f>Table3[[#This Row],[MATCHES]]-Table3[[#This Row],[Number of wins]]</f>
        <v>1752.912</v>
      </c>
      <c r="J70" s="4" t="str">
        <f>VLOOKUP(Table3[[#This Row],[GOD]],' Raw Data for God Type'!A:I,2)</f>
        <v>Japanese</v>
      </c>
      <c r="K70" s="4" t="str">
        <f>VLOOKUP(Table3[[#This Row],[GOD]],' Raw Data for God Type'!A:I,5)</f>
        <v>Guardian</v>
      </c>
      <c r="L70" s="4" t="str">
        <f>VLOOKUP(Table3[[#This Row],[GOD]],' Raw Data for God Type'!A:I,6)</f>
        <v>Easy</v>
      </c>
      <c r="M70" s="4" t="str">
        <f>VLOOKUP(Table3[[#This Row],[GOD]],' Raw Data for God Type'!A:I,3)</f>
        <v>Melee</v>
      </c>
      <c r="N70" s="4" t="str">
        <f>VLOOKUP(Table3[[#This Row],[GOD]],' Raw Data for God Type'!A:I,4)</f>
        <v>Magical</v>
      </c>
    </row>
    <row r="71" spans="1:14" x14ac:dyDescent="0.25">
      <c r="A71" s="4" t="s">
        <v>136</v>
      </c>
      <c r="B71" s="4">
        <v>0.50360000000000005</v>
      </c>
      <c r="C71" s="4">
        <v>16443</v>
      </c>
      <c r="D71" s="4">
        <v>1.93</v>
      </c>
      <c r="E71" s="4">
        <v>15985</v>
      </c>
      <c r="F71" s="4">
        <v>22</v>
      </c>
      <c r="G71" s="4">
        <v>10144</v>
      </c>
      <c r="H71" s="5">
        <f>Table3[[#This Row],[MATCHES]]*Table3[[#This Row],[WIN RATE]]</f>
        <v>8280.6948000000011</v>
      </c>
      <c r="I71" s="5">
        <f>Table3[[#This Row],[MATCHES]]-Table3[[#This Row],[Number of wins]]</f>
        <v>8162.3051999999989</v>
      </c>
      <c r="J71" s="4" t="str">
        <f>VLOOKUP(Table3[[#This Row],[GOD]],' Raw Data for God Type'!A:I,2)</f>
        <v>Norse</v>
      </c>
      <c r="K71" s="4" t="str">
        <f>VLOOKUP(Table3[[#This Row],[GOD]],' Raw Data for God Type'!A:I,5)</f>
        <v>Assassin</v>
      </c>
      <c r="L71" s="4" t="str">
        <f>VLOOKUP(Table3[[#This Row],[GOD]],' Raw Data for God Type'!A:I,6)</f>
        <v>Easy</v>
      </c>
      <c r="M71" s="4" t="str">
        <f>VLOOKUP(Table3[[#This Row],[GOD]],' Raw Data for God Type'!A:I,3)</f>
        <v>Melee</v>
      </c>
      <c r="N71" s="4" t="str">
        <f>VLOOKUP(Table3[[#This Row],[GOD]],' Raw Data for God Type'!A:I,4)</f>
        <v>Physical</v>
      </c>
    </row>
    <row r="72" spans="1:14" x14ac:dyDescent="0.25">
      <c r="A72" s="4" t="s">
        <v>104</v>
      </c>
      <c r="B72" s="4">
        <v>0.50949999999999995</v>
      </c>
      <c r="C72" s="4">
        <v>17003</v>
      </c>
      <c r="D72" s="4">
        <v>1.61</v>
      </c>
      <c r="E72" s="4">
        <v>17212</v>
      </c>
      <c r="F72" s="4">
        <v>42</v>
      </c>
      <c r="G72" s="4">
        <v>8100</v>
      </c>
      <c r="H72" s="5">
        <f>Table3[[#This Row],[MATCHES]]*Table3[[#This Row],[WIN RATE]]</f>
        <v>8663.0284999999985</v>
      </c>
      <c r="I72" s="5">
        <f>Table3[[#This Row],[MATCHES]]-Table3[[#This Row],[Number of wins]]</f>
        <v>8339.9715000000015</v>
      </c>
      <c r="J72" s="4" t="str">
        <f>VLOOKUP(Table3[[#This Row],[GOD]],' Raw Data for God Type'!A:I,2)</f>
        <v>Greek</v>
      </c>
      <c r="K72" s="4" t="str">
        <f>VLOOKUP(Table3[[#This Row],[GOD]],' Raw Data for God Type'!A:I,5)</f>
        <v>Hunter</v>
      </c>
      <c r="L72" s="4" t="str">
        <f>VLOOKUP(Table3[[#This Row],[GOD]],' Raw Data for God Type'!A:I,6)</f>
        <v>Easy</v>
      </c>
      <c r="M72" s="4" t="str">
        <f>VLOOKUP(Table3[[#This Row],[GOD]],' Raw Data for God Type'!A:I,3)</f>
        <v>Ranged</v>
      </c>
      <c r="N72" s="4" t="str">
        <f>VLOOKUP(Table3[[#This Row],[GOD]],' Raw Data for God Type'!A:I,4)</f>
        <v>Physical</v>
      </c>
    </row>
    <row r="73" spans="1:14" x14ac:dyDescent="0.25">
      <c r="A73" s="4" t="s">
        <v>42</v>
      </c>
      <c r="B73" s="4">
        <v>0.53449999999999998</v>
      </c>
      <c r="C73" s="4">
        <v>10952</v>
      </c>
      <c r="D73" s="4">
        <v>1.89</v>
      </c>
      <c r="E73" s="4">
        <v>15829</v>
      </c>
      <c r="F73" s="4">
        <v>21</v>
      </c>
      <c r="G73" s="4">
        <v>9766</v>
      </c>
      <c r="H73" s="5">
        <f>Table3[[#This Row],[MATCHES]]*Table3[[#This Row],[WIN RATE]]</f>
        <v>5853.8440000000001</v>
      </c>
      <c r="I73" s="5">
        <f>Table3[[#This Row],[MATCHES]]-Table3[[#This Row],[Number of wins]]</f>
        <v>5098.1559999999999</v>
      </c>
      <c r="J73" s="4" t="str">
        <f>VLOOKUP(Table3[[#This Row],[GOD]],' Raw Data for God Type'!A:I,2)</f>
        <v>Roman</v>
      </c>
      <c r="K73" s="4" t="str">
        <f>VLOOKUP(Table3[[#This Row],[GOD]],' Raw Data for God Type'!A:I,5)</f>
        <v>Assassin</v>
      </c>
      <c r="L73" s="4" t="str">
        <f>VLOOKUP(Table3[[#This Row],[GOD]],' Raw Data for God Type'!A:I,6)</f>
        <v>Average</v>
      </c>
      <c r="M73" s="4" t="str">
        <f>VLOOKUP(Table3[[#This Row],[GOD]],' Raw Data for God Type'!A:I,3)</f>
        <v>Melee</v>
      </c>
      <c r="N73" s="4" t="str">
        <f>VLOOKUP(Table3[[#This Row],[GOD]],' Raw Data for God Type'!A:I,4)</f>
        <v>Physical</v>
      </c>
    </row>
    <row r="74" spans="1:14" x14ac:dyDescent="0.25">
      <c r="A74" s="4" t="s">
        <v>145</v>
      </c>
      <c r="B74" s="4">
        <v>0.5</v>
      </c>
      <c r="C74" s="4">
        <v>6444</v>
      </c>
      <c r="D74" s="4">
        <v>1.54</v>
      </c>
      <c r="E74" s="4">
        <v>18446</v>
      </c>
      <c r="F74" s="4">
        <v>121</v>
      </c>
      <c r="G74" s="4">
        <v>6648</v>
      </c>
      <c r="H74" s="5">
        <f>Table3[[#This Row],[MATCHES]]*Table3[[#This Row],[WIN RATE]]</f>
        <v>3222</v>
      </c>
      <c r="I74" s="5">
        <f>Table3[[#This Row],[MATCHES]]-Table3[[#This Row],[Number of wins]]</f>
        <v>3222</v>
      </c>
      <c r="J74" s="4" t="str">
        <f>VLOOKUP(Table3[[#This Row],[GOD]],' Raw Data for God Type'!A:I,2)</f>
        <v>Arthurian</v>
      </c>
      <c r="K74" s="4" t="str">
        <f>VLOOKUP(Table3[[#This Row],[GOD]],' Raw Data for God Type'!A:I,5)</f>
        <v>Mage</v>
      </c>
      <c r="L74" s="4" t="str">
        <f>VLOOKUP(Table3[[#This Row],[GOD]],' Raw Data for God Type'!A:I,6)</f>
        <v>Hard</v>
      </c>
      <c r="M74" s="4" t="str">
        <f>VLOOKUP(Table3[[#This Row],[GOD]],' Raw Data for God Type'!A:I,3)</f>
        <v>Ranged</v>
      </c>
      <c r="N74" s="4" t="str">
        <f>VLOOKUP(Table3[[#This Row],[GOD]],' Raw Data for God Type'!A:I,4)</f>
        <v>Magical</v>
      </c>
    </row>
    <row r="75" spans="1:14" x14ac:dyDescent="0.25">
      <c r="A75" s="4" t="s">
        <v>106</v>
      </c>
      <c r="B75" s="4">
        <v>0.50939999999999996</v>
      </c>
      <c r="C75" s="4">
        <v>8477</v>
      </c>
      <c r="D75" s="4">
        <v>1.68</v>
      </c>
      <c r="E75" s="4">
        <v>19491</v>
      </c>
      <c r="F75" s="4">
        <v>187</v>
      </c>
      <c r="G75" s="4">
        <v>8463</v>
      </c>
      <c r="H75" s="5">
        <f>Table3[[#This Row],[MATCHES]]*Table3[[#This Row],[WIN RATE]]</f>
        <v>4318.1837999999998</v>
      </c>
      <c r="I75" s="5">
        <f>Table3[[#This Row],[MATCHES]]-Table3[[#This Row],[Number of wins]]</f>
        <v>4158.8162000000002</v>
      </c>
      <c r="J75" s="4" t="str">
        <f>VLOOKUP(Table3[[#This Row],[GOD]],' Raw Data for God Type'!A:I,2)</f>
        <v>Arthurian</v>
      </c>
      <c r="K75" s="4" t="str">
        <f>VLOOKUP(Table3[[#This Row],[GOD]],' Raw Data for God Type'!A:I,5)</f>
        <v>Mage</v>
      </c>
      <c r="L75" s="4" t="str">
        <f>VLOOKUP(Table3[[#This Row],[GOD]],' Raw Data for God Type'!A:I,6)</f>
        <v>Average</v>
      </c>
      <c r="M75" s="4" t="str">
        <f>VLOOKUP(Table3[[#This Row],[GOD]],' Raw Data for God Type'!A:I,3)</f>
        <v>Ranged</v>
      </c>
      <c r="N75" s="4" t="str">
        <f>VLOOKUP(Table3[[#This Row],[GOD]],' Raw Data for God Type'!A:I,4)</f>
        <v>Magical</v>
      </c>
    </row>
    <row r="76" spans="1:14" x14ac:dyDescent="0.25">
      <c r="A76" s="4" t="s">
        <v>90</v>
      </c>
      <c r="B76" s="4">
        <v>0.5131</v>
      </c>
      <c r="C76" s="4">
        <v>10592</v>
      </c>
      <c r="D76" s="4">
        <v>1.63</v>
      </c>
      <c r="E76" s="4">
        <v>17497</v>
      </c>
      <c r="F76" s="4">
        <v>104</v>
      </c>
      <c r="G76" s="4">
        <v>29509</v>
      </c>
      <c r="H76" s="5">
        <f>Table3[[#This Row],[MATCHES]]*Table3[[#This Row],[WIN RATE]]</f>
        <v>5434.7551999999996</v>
      </c>
      <c r="I76" s="5">
        <f>Table3[[#This Row],[MATCHES]]-Table3[[#This Row],[Number of wins]]</f>
        <v>5157.2448000000004</v>
      </c>
      <c r="J76" s="4" t="str">
        <f>VLOOKUP(Table3[[#This Row],[GOD]],' Raw Data for God Type'!A:I,2)</f>
        <v>Chinese</v>
      </c>
      <c r="K76" s="4" t="str">
        <f>VLOOKUP(Table3[[#This Row],[GOD]],' Raw Data for God Type'!A:I,5)</f>
        <v>Warrior</v>
      </c>
      <c r="L76" s="4" t="str">
        <f>VLOOKUP(Table3[[#This Row],[GOD]],' Raw Data for God Type'!A:I,6)</f>
        <v>Average</v>
      </c>
      <c r="M76" s="4" t="str">
        <f>VLOOKUP(Table3[[#This Row],[GOD]],' Raw Data for God Type'!A:I,3)</f>
        <v>Melee</v>
      </c>
      <c r="N76" s="4" t="str">
        <f>VLOOKUP(Table3[[#This Row],[GOD]],' Raw Data for God Type'!A:I,4)</f>
        <v>Physical</v>
      </c>
    </row>
    <row r="77" spans="1:14" x14ac:dyDescent="0.25">
      <c r="A77" s="4" t="s">
        <v>225</v>
      </c>
      <c r="B77" s="4">
        <v>0.46200000000000002</v>
      </c>
      <c r="C77" s="4">
        <v>5941</v>
      </c>
      <c r="D77" s="4">
        <v>1.56</v>
      </c>
      <c r="E77" s="4">
        <v>15041</v>
      </c>
      <c r="F77" s="4">
        <v>71</v>
      </c>
      <c r="G77" s="4">
        <v>13681</v>
      </c>
      <c r="H77" s="5">
        <f>Table3[[#This Row],[MATCHES]]*Table3[[#This Row],[WIN RATE]]</f>
        <v>2744.7420000000002</v>
      </c>
      <c r="I77" s="5">
        <f>Table3[[#This Row],[MATCHES]]-Table3[[#This Row],[Number of wins]]</f>
        <v>3196.2579999999998</v>
      </c>
      <c r="J77" s="4" t="str">
        <f>VLOOKUP(Table3[[#This Row],[GOD]],' Raw Data for God Type'!A:I,2)</f>
        <v>Chinese</v>
      </c>
      <c r="K77" s="4" t="str">
        <f>VLOOKUP(Table3[[#This Row],[GOD]],' Raw Data for God Type'!A:I,5)</f>
        <v>Assassin</v>
      </c>
      <c r="L77" s="4" t="str">
        <f>VLOOKUP(Table3[[#This Row],[GOD]],' Raw Data for God Type'!A:I,6)</f>
        <v>Average</v>
      </c>
      <c r="M77" s="4" t="str">
        <f>VLOOKUP(Table3[[#This Row],[GOD]],' Raw Data for God Type'!A:I,3)</f>
        <v>Melee</v>
      </c>
      <c r="N77" s="4" t="str">
        <f>VLOOKUP(Table3[[#This Row],[GOD]],' Raw Data for God Type'!A:I,4)</f>
        <v>Physical</v>
      </c>
    </row>
    <row r="78" spans="1:14" x14ac:dyDescent="0.25">
      <c r="A78" s="4" t="s">
        <v>157</v>
      </c>
      <c r="B78" s="4">
        <v>0.49609999999999999</v>
      </c>
      <c r="C78" s="4">
        <v>20277</v>
      </c>
      <c r="D78" s="4">
        <v>1.69</v>
      </c>
      <c r="E78" s="4">
        <v>17705</v>
      </c>
      <c r="F78" s="4">
        <v>55</v>
      </c>
      <c r="G78" s="4">
        <v>7682</v>
      </c>
      <c r="H78" s="5">
        <f>Table3[[#This Row],[MATCHES]]*Table3[[#This Row],[WIN RATE]]</f>
        <v>10059.4197</v>
      </c>
      <c r="I78" s="5">
        <f>Table3[[#This Row],[MATCHES]]-Table3[[#This Row],[Number of wins]]</f>
        <v>10217.5803</v>
      </c>
      <c r="J78" s="4" t="str">
        <f>VLOOKUP(Table3[[#This Row],[GOD]],' Raw Data for God Type'!A:I,2)</f>
        <v>Egyptian</v>
      </c>
      <c r="K78" s="4" t="str">
        <f>VLOOKUP(Table3[[#This Row],[GOD]],' Raw Data for God Type'!A:I,5)</f>
        <v>Hunter</v>
      </c>
      <c r="L78" s="4" t="str">
        <f>VLOOKUP(Table3[[#This Row],[GOD]],' Raw Data for God Type'!A:I,6)</f>
        <v>Easy</v>
      </c>
      <c r="M78" s="4" t="str">
        <f>VLOOKUP(Table3[[#This Row],[GOD]],' Raw Data for God Type'!A:I,3)</f>
        <v>Ranged</v>
      </c>
      <c r="N78" s="4" t="str">
        <f>VLOOKUP(Table3[[#This Row],[GOD]],' Raw Data for God Type'!A:I,4)</f>
        <v>Physical</v>
      </c>
    </row>
    <row r="79" spans="1:14" x14ac:dyDescent="0.25">
      <c r="A79" s="4" t="s">
        <v>161</v>
      </c>
      <c r="B79" s="4">
        <v>0.495</v>
      </c>
      <c r="C79" s="4">
        <v>8917</v>
      </c>
      <c r="D79" s="4">
        <v>1.96</v>
      </c>
      <c r="E79" s="4">
        <v>16265</v>
      </c>
      <c r="F79" s="4">
        <v>22</v>
      </c>
      <c r="G79" s="4">
        <v>13139</v>
      </c>
      <c r="H79" s="5">
        <f>Table3[[#This Row],[MATCHES]]*Table3[[#This Row],[WIN RATE]]</f>
        <v>4413.915</v>
      </c>
      <c r="I79" s="5">
        <f>Table3[[#This Row],[MATCHES]]-Table3[[#This Row],[Number of wins]]</f>
        <v>4503.085</v>
      </c>
      <c r="J79" s="4" t="str">
        <f>VLOOKUP(Table3[[#This Row],[GOD]],' Raw Data for God Type'!A:I,2)</f>
        <v>Greek</v>
      </c>
      <c r="K79" s="4" t="str">
        <f>VLOOKUP(Table3[[#This Row],[GOD]],' Raw Data for God Type'!A:I,5)</f>
        <v>Assassin</v>
      </c>
      <c r="L79" s="4" t="str">
        <f>VLOOKUP(Table3[[#This Row],[GOD]],' Raw Data for God Type'!A:I,6)</f>
        <v>Average</v>
      </c>
      <c r="M79" s="4" t="str">
        <f>VLOOKUP(Table3[[#This Row],[GOD]],' Raw Data for God Type'!A:I,3)</f>
        <v>Melee</v>
      </c>
      <c r="N79" s="4" t="str">
        <f>VLOOKUP(Table3[[#This Row],[GOD]],' Raw Data for God Type'!A:I,4)</f>
        <v>Physical</v>
      </c>
    </row>
    <row r="80" spans="1:14" x14ac:dyDescent="0.25">
      <c r="A80" s="4" t="s">
        <v>147</v>
      </c>
      <c r="B80" s="4">
        <v>0.49959999999999999</v>
      </c>
      <c r="C80" s="4">
        <v>5288</v>
      </c>
      <c r="D80" s="4">
        <v>1.68</v>
      </c>
      <c r="E80" s="4">
        <v>14331</v>
      </c>
      <c r="F80" s="4">
        <v>150</v>
      </c>
      <c r="G80" s="4">
        <v>25160</v>
      </c>
      <c r="H80" s="5">
        <f>Table3[[#This Row],[MATCHES]]*Table3[[#This Row],[WIN RATE]]</f>
        <v>2641.8847999999998</v>
      </c>
      <c r="I80" s="5">
        <f>Table3[[#This Row],[MATCHES]]-Table3[[#This Row],[Number of wins]]</f>
        <v>2646.1152000000002</v>
      </c>
      <c r="J80" s="4" t="str">
        <f>VLOOKUP(Table3[[#This Row],[GOD]],' Raw Data for God Type'!A:I,2)</f>
        <v>Greek</v>
      </c>
      <c r="K80" s="4" t="str">
        <f>VLOOKUP(Table3[[#This Row],[GOD]],' Raw Data for God Type'!A:I,5)</f>
        <v>Warrior</v>
      </c>
      <c r="L80" s="4" t="str">
        <f>VLOOKUP(Table3[[#This Row],[GOD]],' Raw Data for God Type'!A:I,6)</f>
        <v>Easy</v>
      </c>
      <c r="M80" s="4" t="str">
        <f>VLOOKUP(Table3[[#This Row],[GOD]],' Raw Data for God Type'!A:I,3)</f>
        <v>Melee</v>
      </c>
      <c r="N80" s="4" t="str">
        <f>VLOOKUP(Table3[[#This Row],[GOD]],' Raw Data for God Type'!A:I,4)</f>
        <v>Physical</v>
      </c>
    </row>
    <row r="81" spans="1:14" x14ac:dyDescent="0.25">
      <c r="A81" s="4" t="s">
        <v>177</v>
      </c>
      <c r="B81" s="4">
        <v>0.48370000000000002</v>
      </c>
      <c r="C81" s="4">
        <v>4836</v>
      </c>
      <c r="D81" s="4">
        <v>1.79</v>
      </c>
      <c r="E81" s="4">
        <v>12459</v>
      </c>
      <c r="F81" s="4">
        <v>279</v>
      </c>
      <c r="G81" s="4">
        <v>13882</v>
      </c>
      <c r="H81" s="5">
        <f>Table3[[#This Row],[MATCHES]]*Table3[[#This Row],[WIN RATE]]</f>
        <v>2339.1732000000002</v>
      </c>
      <c r="I81" s="5">
        <f>Table3[[#This Row],[MATCHES]]-Table3[[#This Row],[Number of wins]]</f>
        <v>2496.8267999999998</v>
      </c>
      <c r="J81" s="4" t="str">
        <f>VLOOKUP(Table3[[#This Row],[GOD]],' Raw Data for God Type'!A:I,2)</f>
        <v>Roman</v>
      </c>
      <c r="K81" s="4" t="str">
        <f>VLOOKUP(Table3[[#This Row],[GOD]],' Raw Data for God Type'!A:I,5)</f>
        <v>Mage</v>
      </c>
      <c r="L81" s="4" t="str">
        <f>VLOOKUP(Table3[[#This Row],[GOD]],' Raw Data for God Type'!A:I,6)</f>
        <v>Average</v>
      </c>
      <c r="M81" s="4" t="str">
        <f>VLOOKUP(Table3[[#This Row],[GOD]],' Raw Data for God Type'!A:I,3)</f>
        <v>Ranged</v>
      </c>
      <c r="N81" s="4" t="str">
        <f>VLOOKUP(Table3[[#This Row],[GOD]],' Raw Data for God Type'!A:I,4)</f>
        <v>Magical</v>
      </c>
    </row>
    <row r="82" spans="1:14" x14ac:dyDescent="0.25">
      <c r="A82" s="4" t="s">
        <v>10</v>
      </c>
      <c r="B82" s="4">
        <v>0.5504</v>
      </c>
      <c r="C82" s="4">
        <v>10382</v>
      </c>
      <c r="D82" s="4">
        <v>1.76</v>
      </c>
      <c r="E82" s="4">
        <v>24012</v>
      </c>
      <c r="F82" s="4">
        <v>169</v>
      </c>
      <c r="G82" s="4">
        <v>6133</v>
      </c>
      <c r="H82" s="5">
        <f>Table3[[#This Row],[MATCHES]]*Table3[[#This Row],[WIN RATE]]</f>
        <v>5714.2528000000002</v>
      </c>
      <c r="I82" s="5">
        <f>Table3[[#This Row],[MATCHES]]-Table3[[#This Row],[Number of wins]]</f>
        <v>4667.7471999999998</v>
      </c>
      <c r="J82" s="4" t="str">
        <f>VLOOKUP(Table3[[#This Row],[GOD]],' Raw Data for God Type'!A:I,2)</f>
        <v>Chinese</v>
      </c>
      <c r="K82" s="4" t="str">
        <f>VLOOKUP(Table3[[#This Row],[GOD]],' Raw Data for God Type'!A:I,5)</f>
        <v>Mage</v>
      </c>
      <c r="L82" s="4" t="str">
        <f>VLOOKUP(Table3[[#This Row],[GOD]],' Raw Data for God Type'!A:I,6)</f>
        <v>Easy</v>
      </c>
      <c r="M82" s="4" t="str">
        <f>VLOOKUP(Table3[[#This Row],[GOD]],' Raw Data for God Type'!A:I,3)</f>
        <v>Ranged</v>
      </c>
      <c r="N82" s="4" t="str">
        <f>VLOOKUP(Table3[[#This Row],[GOD]],' Raw Data for God Type'!A:I,4)</f>
        <v>Magical</v>
      </c>
    </row>
    <row r="83" spans="1:14" x14ac:dyDescent="0.25">
      <c r="A83" s="4" t="s">
        <v>128</v>
      </c>
      <c r="B83" s="4">
        <v>0.50519999999999998</v>
      </c>
      <c r="C83" s="4">
        <v>4341</v>
      </c>
      <c r="D83" s="4">
        <v>1.96</v>
      </c>
      <c r="E83" s="4">
        <v>12266</v>
      </c>
      <c r="F83" s="4">
        <v>157</v>
      </c>
      <c r="G83" s="4">
        <v>24034</v>
      </c>
      <c r="H83" s="5">
        <f>Table3[[#This Row],[MATCHES]]*Table3[[#This Row],[WIN RATE]]</f>
        <v>2193.0731999999998</v>
      </c>
      <c r="I83" s="5">
        <f>Table3[[#This Row],[MATCHES]]-Table3[[#This Row],[Number of wins]]</f>
        <v>2147.9268000000002</v>
      </c>
      <c r="J83" s="4" t="str">
        <f>VLOOKUP(Table3[[#This Row],[GOD]],' Raw Data for God Type'!A:I,2)</f>
        <v>Norse</v>
      </c>
      <c r="K83" s="4" t="str">
        <f>VLOOKUP(Table3[[#This Row],[GOD]],' Raw Data for God Type'!A:I,5)</f>
        <v>Warrior</v>
      </c>
      <c r="L83" s="4" t="str">
        <f>VLOOKUP(Table3[[#This Row],[GOD]],' Raw Data for God Type'!A:I,6)</f>
        <v>Easy</v>
      </c>
      <c r="M83" s="4" t="str">
        <f>VLOOKUP(Table3[[#This Row],[GOD]],' Raw Data for God Type'!A:I,3)</f>
        <v>Melee</v>
      </c>
      <c r="N83" s="4" t="str">
        <f>VLOOKUP(Table3[[#This Row],[GOD]],' Raw Data for God Type'!A:I,4)</f>
        <v>Physical</v>
      </c>
    </row>
    <row r="84" spans="1:14" x14ac:dyDescent="0.25">
      <c r="A84" s="4" t="s">
        <v>132</v>
      </c>
      <c r="B84" s="4">
        <v>0.50470000000000004</v>
      </c>
      <c r="C84" s="4">
        <v>4163</v>
      </c>
      <c r="D84" s="4">
        <v>1.36</v>
      </c>
      <c r="E84" s="4">
        <v>15629</v>
      </c>
      <c r="F84" s="4">
        <v>1119</v>
      </c>
      <c r="G84" s="4">
        <v>9406</v>
      </c>
      <c r="H84" s="5">
        <f>Table3[[#This Row],[MATCHES]]*Table3[[#This Row],[WIN RATE]]</f>
        <v>2101.0661</v>
      </c>
      <c r="I84" s="5">
        <f>Table3[[#This Row],[MATCHES]]-Table3[[#This Row],[Number of wins]]</f>
        <v>2061.9339</v>
      </c>
      <c r="J84" s="4" t="str">
        <f>VLOOKUP(Table3[[#This Row],[GOD]],' Raw Data for God Type'!A:I,2)</f>
        <v>Yoruba</v>
      </c>
      <c r="K84" s="4" t="str">
        <f>VLOOKUP(Table3[[#This Row],[GOD]],' Raw Data for God Type'!A:I,5)</f>
        <v>Mage</v>
      </c>
      <c r="L84" s="4" t="str">
        <f>VLOOKUP(Table3[[#This Row],[GOD]],' Raw Data for God Type'!A:I,6)</f>
        <v>Average</v>
      </c>
      <c r="M84" s="4" t="str">
        <f>VLOOKUP(Table3[[#This Row],[GOD]],' Raw Data for God Type'!A:I,3)</f>
        <v>Ranged</v>
      </c>
      <c r="N84" s="4" t="str">
        <f>VLOOKUP(Table3[[#This Row],[GOD]],' Raw Data for God Type'!A:I,4)</f>
        <v>Magical</v>
      </c>
    </row>
    <row r="85" spans="1:14" x14ac:dyDescent="0.25">
      <c r="A85" s="4" t="s">
        <v>155</v>
      </c>
      <c r="B85" s="4">
        <v>0.49659999999999999</v>
      </c>
      <c r="C85" s="4">
        <v>7394</v>
      </c>
      <c r="D85" s="4">
        <v>1.69</v>
      </c>
      <c r="E85" s="4">
        <v>15577</v>
      </c>
      <c r="F85" s="4">
        <v>64</v>
      </c>
      <c r="G85" s="4">
        <v>30859</v>
      </c>
      <c r="H85" s="5">
        <f>Table3[[#This Row],[MATCHES]]*Table3[[#This Row],[WIN RATE]]</f>
        <v>3671.8604</v>
      </c>
      <c r="I85" s="5">
        <f>Table3[[#This Row],[MATCHES]]-Table3[[#This Row],[Number of wins]]</f>
        <v>3722.1396</v>
      </c>
      <c r="J85" s="4" t="str">
        <f>VLOOKUP(Table3[[#This Row],[GOD]],' Raw Data for God Type'!A:I,2)</f>
        <v>Egyptian</v>
      </c>
      <c r="K85" s="4" t="str">
        <f>VLOOKUP(Table3[[#This Row],[GOD]],' Raw Data for God Type'!A:I,5)</f>
        <v>Warrior</v>
      </c>
      <c r="L85" s="4" t="str">
        <f>VLOOKUP(Table3[[#This Row],[GOD]],' Raw Data for God Type'!A:I,6)</f>
        <v>Hard</v>
      </c>
      <c r="M85" s="4" t="str">
        <f>VLOOKUP(Table3[[#This Row],[GOD]],' Raw Data for God Type'!A:I,3)</f>
        <v>Melee</v>
      </c>
      <c r="N85" s="4" t="str">
        <f>VLOOKUP(Table3[[#This Row],[GOD]],' Raw Data for God Type'!A:I,4)</f>
        <v>Physical</v>
      </c>
    </row>
    <row r="86" spans="1:14" x14ac:dyDescent="0.25">
      <c r="A86" s="4" t="s">
        <v>123</v>
      </c>
      <c r="B86" s="4">
        <v>0.50590000000000002</v>
      </c>
      <c r="C86" s="4">
        <v>6804</v>
      </c>
      <c r="D86" s="4">
        <v>1.81</v>
      </c>
      <c r="E86" s="4">
        <v>17519</v>
      </c>
      <c r="F86" s="4">
        <v>29</v>
      </c>
      <c r="G86" s="4">
        <v>12829</v>
      </c>
      <c r="H86" s="5">
        <f>Table3[[#This Row],[MATCHES]]*Table3[[#This Row],[WIN RATE]]</f>
        <v>3442.1436000000003</v>
      </c>
      <c r="I86" s="5">
        <f>Table3[[#This Row],[MATCHES]]-Table3[[#This Row],[Number of wins]]</f>
        <v>3361.8563999999997</v>
      </c>
      <c r="J86" s="4" t="str">
        <f>VLOOKUP(Table3[[#This Row],[GOD]],' Raw Data for God Type'!A:I,2)</f>
        <v>Polynesian</v>
      </c>
      <c r="K86" s="4" t="str">
        <f>VLOOKUP(Table3[[#This Row],[GOD]],' Raw Data for God Type'!A:I,5)</f>
        <v>Assassin</v>
      </c>
      <c r="L86" s="4" t="str">
        <f>VLOOKUP(Table3[[#This Row],[GOD]],' Raw Data for God Type'!A:I,6)</f>
        <v>Average</v>
      </c>
      <c r="M86" s="4" t="str">
        <f>VLOOKUP(Table3[[#This Row],[GOD]],' Raw Data for God Type'!A:I,3)</f>
        <v>Melee</v>
      </c>
      <c r="N86" s="4" t="str">
        <f>VLOOKUP(Table3[[#This Row],[GOD]],' Raw Data for God Type'!A:I,4)</f>
        <v>Physical</v>
      </c>
    </row>
    <row r="87" spans="1:14" x14ac:dyDescent="0.25">
      <c r="A87" s="4" t="s">
        <v>126</v>
      </c>
      <c r="B87" s="4">
        <v>0.50529999999999997</v>
      </c>
      <c r="C87" s="4">
        <v>10027</v>
      </c>
      <c r="D87" s="4">
        <v>1.6</v>
      </c>
      <c r="E87" s="4">
        <v>18569</v>
      </c>
      <c r="F87" s="4">
        <v>110</v>
      </c>
      <c r="G87" s="4">
        <v>6388</v>
      </c>
      <c r="H87" s="5">
        <f>Table3[[#This Row],[MATCHES]]*Table3[[#This Row],[WIN RATE]]</f>
        <v>5066.6430999999993</v>
      </c>
      <c r="I87" s="5">
        <f>Table3[[#This Row],[MATCHES]]-Table3[[#This Row],[Number of wins]]</f>
        <v>4960.3569000000007</v>
      </c>
      <c r="J87" s="4" t="str">
        <f>VLOOKUP(Table3[[#This Row],[GOD]],' Raw Data for God Type'!A:I,2)</f>
        <v>Greek</v>
      </c>
      <c r="K87" s="4" t="str">
        <f>VLOOKUP(Table3[[#This Row],[GOD]],' Raw Data for God Type'!A:I,5)</f>
        <v>Mage</v>
      </c>
      <c r="L87" s="4" t="str">
        <f>VLOOKUP(Table3[[#This Row],[GOD]],' Raw Data for God Type'!A:I,6)</f>
        <v>Hard</v>
      </c>
      <c r="M87" s="4" t="str">
        <f>VLOOKUP(Table3[[#This Row],[GOD]],' Raw Data for God Type'!A:I,3)</f>
        <v>Ranged</v>
      </c>
      <c r="N87" s="4" t="str">
        <f>VLOOKUP(Table3[[#This Row],[GOD]],' Raw Data for God Type'!A:I,4)</f>
        <v>Magical</v>
      </c>
    </row>
    <row r="88" spans="1:14" x14ac:dyDescent="0.25">
      <c r="A88" s="4" t="s">
        <v>38</v>
      </c>
      <c r="B88" s="4">
        <v>0.53510000000000002</v>
      </c>
      <c r="C88" s="4">
        <v>11673</v>
      </c>
      <c r="D88" s="4">
        <v>1.6</v>
      </c>
      <c r="E88" s="4">
        <v>18721</v>
      </c>
      <c r="F88" s="4">
        <v>66</v>
      </c>
      <c r="G88" s="4">
        <v>6573</v>
      </c>
      <c r="H88" s="5">
        <f>Table3[[#This Row],[MATCHES]]*Table3[[#This Row],[WIN RATE]]</f>
        <v>6246.2223000000004</v>
      </c>
      <c r="I88" s="5">
        <f>Table3[[#This Row],[MATCHES]]-Table3[[#This Row],[Number of wins]]</f>
        <v>5426.7776999999996</v>
      </c>
      <c r="J88" s="4" t="str">
        <f>VLOOKUP(Table3[[#This Row],[GOD]],' Raw Data for God Type'!A:I,2)</f>
        <v>Greek</v>
      </c>
      <c r="K88" s="4" t="str">
        <f>VLOOKUP(Table3[[#This Row],[GOD]],' Raw Data for God Type'!A:I,5)</f>
        <v>Mage</v>
      </c>
      <c r="L88" s="4" t="str">
        <f>VLOOKUP(Table3[[#This Row],[GOD]],' Raw Data for God Type'!A:I,6)</f>
        <v>Easy</v>
      </c>
      <c r="M88" s="4" t="str">
        <f>VLOOKUP(Table3[[#This Row],[GOD]],' Raw Data for God Type'!A:I,3)</f>
        <v>Ranged</v>
      </c>
      <c r="N88" s="4" t="str">
        <f>VLOOKUP(Table3[[#This Row],[GOD]],' Raw Data for God Type'!A:I,4)</f>
        <v>Magical</v>
      </c>
    </row>
    <row r="89" spans="1:14" x14ac:dyDescent="0.25">
      <c r="A89" s="4" t="s">
        <v>119</v>
      </c>
      <c r="B89" s="4">
        <v>0.5071</v>
      </c>
      <c r="C89" s="4">
        <v>8216</v>
      </c>
      <c r="D89" s="4">
        <v>1.53</v>
      </c>
      <c r="E89" s="4">
        <v>15875</v>
      </c>
      <c r="F89" s="4">
        <v>3066</v>
      </c>
      <c r="G89" s="4">
        <v>8542</v>
      </c>
      <c r="H89" s="5">
        <f>Table3[[#This Row],[MATCHES]]*Table3[[#This Row],[WIN RATE]]</f>
        <v>4166.3335999999999</v>
      </c>
      <c r="I89" s="5">
        <f>Table3[[#This Row],[MATCHES]]-Table3[[#This Row],[Number of wins]]</f>
        <v>4049.6664000000001</v>
      </c>
      <c r="J89" s="4" t="str">
        <f>VLOOKUP(Table3[[#This Row],[GOD]],' Raw Data for God Type'!A:I,2)</f>
        <v>Egyptian</v>
      </c>
      <c r="K89" s="4" t="str">
        <f>VLOOKUP(Table3[[#This Row],[GOD]],' Raw Data for God Type'!A:I,5)</f>
        <v>Mage</v>
      </c>
      <c r="L89" s="4" t="str">
        <f>VLOOKUP(Table3[[#This Row],[GOD]],' Raw Data for God Type'!A:I,6)</f>
        <v>Average</v>
      </c>
      <c r="M89" s="4" t="str">
        <f>VLOOKUP(Table3[[#This Row],[GOD]],' Raw Data for God Type'!A:I,3)</f>
        <v>Ranged</v>
      </c>
      <c r="N89" s="4" t="str">
        <f>VLOOKUP(Table3[[#This Row],[GOD]],' Raw Data for God Type'!A:I,4)</f>
        <v>Magical</v>
      </c>
    </row>
    <row r="90" spans="1:14" x14ac:dyDescent="0.25">
      <c r="A90" s="4" t="s">
        <v>181</v>
      </c>
      <c r="B90" s="4">
        <v>0.48130000000000001</v>
      </c>
      <c r="C90" s="4">
        <v>1681</v>
      </c>
      <c r="D90" s="4">
        <v>1.44</v>
      </c>
      <c r="E90" s="4">
        <v>15893</v>
      </c>
      <c r="F90" s="4">
        <v>89</v>
      </c>
      <c r="G90" s="4">
        <v>7552</v>
      </c>
      <c r="H90" s="5">
        <f>Table3[[#This Row],[MATCHES]]*Table3[[#This Row],[WIN RATE]]</f>
        <v>809.06529999999998</v>
      </c>
      <c r="I90" s="5">
        <f>Table3[[#This Row],[MATCHES]]-Table3[[#This Row],[Number of wins]]</f>
        <v>871.93470000000002</v>
      </c>
      <c r="J90" s="4" t="str">
        <f>VLOOKUP(Table3[[#This Row],[GOD]],' Raw Data for God Type'!A:I,2)</f>
        <v>Japanese</v>
      </c>
      <c r="K90" s="4" t="str">
        <f>VLOOKUP(Table3[[#This Row],[GOD]],' Raw Data for God Type'!A:I,5)</f>
        <v>Mage</v>
      </c>
      <c r="L90" s="4" t="str">
        <f>VLOOKUP(Table3[[#This Row],[GOD]],' Raw Data for God Type'!A:I,6)</f>
        <v>Average</v>
      </c>
      <c r="M90" s="4" t="str">
        <f>VLOOKUP(Table3[[#This Row],[GOD]],' Raw Data for God Type'!A:I,3)</f>
        <v>Ranged</v>
      </c>
      <c r="N90" s="4" t="str">
        <f>VLOOKUP(Table3[[#This Row],[GOD]],' Raw Data for God Type'!A:I,4)</f>
        <v>Magical</v>
      </c>
    </row>
    <row r="91" spans="1:14" x14ac:dyDescent="0.25">
      <c r="A91" s="4" t="s">
        <v>125</v>
      </c>
      <c r="B91" s="4">
        <v>0.50570000000000004</v>
      </c>
      <c r="C91" s="4">
        <v>7081</v>
      </c>
      <c r="D91" s="4">
        <v>1.61</v>
      </c>
      <c r="E91" s="4">
        <v>17669</v>
      </c>
      <c r="F91" s="4">
        <v>12</v>
      </c>
      <c r="G91" s="4">
        <v>7923</v>
      </c>
      <c r="H91" s="5">
        <f>Table3[[#This Row],[MATCHES]]*Table3[[#This Row],[WIN RATE]]</f>
        <v>3580.8617000000004</v>
      </c>
      <c r="I91" s="5">
        <f>Table3[[#This Row],[MATCHES]]-Table3[[#This Row],[Number of wins]]</f>
        <v>3500.1382999999996</v>
      </c>
      <c r="J91" s="4" t="str">
        <f>VLOOKUP(Table3[[#This Row],[GOD]],' Raw Data for God Type'!A:I,2)</f>
        <v>Hindu</v>
      </c>
      <c r="K91" s="4" t="str">
        <f>VLOOKUP(Table3[[#This Row],[GOD]],' Raw Data for God Type'!A:I,5)</f>
        <v>Hunter</v>
      </c>
      <c r="L91" s="4" t="str">
        <f>VLOOKUP(Table3[[#This Row],[GOD]],' Raw Data for God Type'!A:I,6)</f>
        <v>Average</v>
      </c>
      <c r="M91" s="4" t="str">
        <f>VLOOKUP(Table3[[#This Row],[GOD]],' Raw Data for God Type'!A:I,3)</f>
        <v>Ranged</v>
      </c>
      <c r="N91" s="4" t="str">
        <f>VLOOKUP(Table3[[#This Row],[GOD]],' Raw Data for God Type'!A:I,4)</f>
        <v>Physical</v>
      </c>
    </row>
    <row r="92" spans="1:14" x14ac:dyDescent="0.25">
      <c r="A92" s="4" t="s">
        <v>215</v>
      </c>
      <c r="B92" s="4">
        <v>0.47110000000000002</v>
      </c>
      <c r="C92" s="4">
        <v>6476</v>
      </c>
      <c r="D92" s="4">
        <v>1.76</v>
      </c>
      <c r="E92" s="4">
        <v>15123</v>
      </c>
      <c r="F92" s="4">
        <v>57</v>
      </c>
      <c r="G92" s="4">
        <v>13404</v>
      </c>
      <c r="H92" s="5">
        <f>Table3[[#This Row],[MATCHES]]*Table3[[#This Row],[WIN RATE]]</f>
        <v>3050.8436000000002</v>
      </c>
      <c r="I92" s="5">
        <f>Table3[[#This Row],[MATCHES]]-Table3[[#This Row],[Number of wins]]</f>
        <v>3425.1563999999998</v>
      </c>
      <c r="J92" s="4" t="str">
        <f>VLOOKUP(Table3[[#This Row],[GOD]],' Raw Data for God Type'!A:I,2)</f>
        <v>Norse</v>
      </c>
      <c r="K92" s="4" t="str">
        <f>VLOOKUP(Table3[[#This Row],[GOD]],' Raw Data for God Type'!A:I,5)</f>
        <v>Assassin</v>
      </c>
      <c r="L92" s="4" t="str">
        <f>VLOOKUP(Table3[[#This Row],[GOD]],' Raw Data for God Type'!A:I,6)</f>
        <v>Easy</v>
      </c>
      <c r="M92" s="4" t="str">
        <f>VLOOKUP(Table3[[#This Row],[GOD]],' Raw Data for God Type'!A:I,3)</f>
        <v>Melee</v>
      </c>
      <c r="N92" s="4" t="str">
        <f>VLOOKUP(Table3[[#This Row],[GOD]],' Raw Data for God Type'!A:I,4)</f>
        <v>Physical</v>
      </c>
    </row>
    <row r="93" spans="1:14" x14ac:dyDescent="0.25">
      <c r="A93" s="4" t="s">
        <v>191</v>
      </c>
      <c r="B93" s="4">
        <v>0.47789999999999999</v>
      </c>
      <c r="C93" s="4">
        <v>8468</v>
      </c>
      <c r="D93" s="4">
        <v>1.91</v>
      </c>
      <c r="E93" s="4">
        <v>15243</v>
      </c>
      <c r="F93" s="4">
        <v>23</v>
      </c>
      <c r="G93" s="4">
        <v>11955</v>
      </c>
      <c r="H93" s="5">
        <f>Table3[[#This Row],[MATCHES]]*Table3[[#This Row],[WIN RATE]]</f>
        <v>4046.8571999999999</v>
      </c>
      <c r="I93" s="5">
        <f>Table3[[#This Row],[MATCHES]]-Table3[[#This Row],[Number of wins]]</f>
        <v>4421.1427999999996</v>
      </c>
      <c r="J93" s="4" t="str">
        <f>VLOOKUP(Table3[[#This Row],[GOD]],' Raw Data for God Type'!A:I,2)</f>
        <v>Hindu</v>
      </c>
      <c r="K93" s="4" t="str">
        <f>VLOOKUP(Table3[[#This Row],[GOD]],' Raw Data for God Type'!A:I,5)</f>
        <v>Assassin</v>
      </c>
      <c r="L93" s="4" t="str">
        <f>VLOOKUP(Table3[[#This Row],[GOD]],' Raw Data for God Type'!A:I,6)</f>
        <v>Average</v>
      </c>
      <c r="M93" s="4" t="str">
        <f>VLOOKUP(Table3[[#This Row],[GOD]],' Raw Data for God Type'!A:I,3)</f>
        <v>Melee</v>
      </c>
      <c r="N93" s="4" t="str">
        <f>VLOOKUP(Table3[[#This Row],[GOD]],' Raw Data for God Type'!A:I,4)</f>
        <v>Physical</v>
      </c>
    </row>
    <row r="94" spans="1:14" x14ac:dyDescent="0.25">
      <c r="A94" s="4" t="s">
        <v>94</v>
      </c>
      <c r="B94" s="4">
        <v>0.51270000000000004</v>
      </c>
      <c r="C94" s="4">
        <v>7829</v>
      </c>
      <c r="D94" s="4">
        <v>1.77</v>
      </c>
      <c r="E94" s="4">
        <v>17295</v>
      </c>
      <c r="F94" s="4">
        <v>59</v>
      </c>
      <c r="G94" s="4">
        <v>5712</v>
      </c>
      <c r="H94" s="5">
        <f>Table3[[#This Row],[MATCHES]]*Table3[[#This Row],[WIN RATE]]</f>
        <v>4013.9283000000005</v>
      </c>
      <c r="I94" s="5">
        <f>Table3[[#This Row],[MATCHES]]-Table3[[#This Row],[Number of wins]]</f>
        <v>3815.0716999999995</v>
      </c>
      <c r="J94" s="4" t="str">
        <f>VLOOKUP(Table3[[#This Row],[GOD]],' Raw Data for God Type'!A:I,2)</f>
        <v>Greek</v>
      </c>
      <c r="K94" s="4" t="str">
        <f>VLOOKUP(Table3[[#This Row],[GOD]],' Raw Data for God Type'!A:I,5)</f>
        <v>Mage</v>
      </c>
      <c r="L94" s="4" t="str">
        <f>VLOOKUP(Table3[[#This Row],[GOD]],' Raw Data for God Type'!A:I,6)</f>
        <v>Easy</v>
      </c>
      <c r="M94" s="4" t="str">
        <f>VLOOKUP(Table3[[#This Row],[GOD]],' Raw Data for God Type'!A:I,3)</f>
        <v>Ranged</v>
      </c>
      <c r="N94" s="4" t="str">
        <f>VLOOKUP(Table3[[#This Row],[GOD]],' Raw Data for God Type'!A:I,4)</f>
        <v>Magical</v>
      </c>
    </row>
    <row r="95" spans="1:14" x14ac:dyDescent="0.25">
      <c r="A95" s="4" t="s">
        <v>243</v>
      </c>
      <c r="B95" s="4">
        <v>0.40920000000000001</v>
      </c>
      <c r="C95" s="4">
        <v>3551</v>
      </c>
      <c r="D95" s="4">
        <v>1.55</v>
      </c>
      <c r="E95" s="4">
        <v>12492</v>
      </c>
      <c r="F95" s="4">
        <v>73</v>
      </c>
      <c r="G95" s="4">
        <v>13077</v>
      </c>
      <c r="H95" s="5">
        <f>Table3[[#This Row],[MATCHES]]*Table3[[#This Row],[WIN RATE]]</f>
        <v>1453.0692000000001</v>
      </c>
      <c r="I95" s="5">
        <f>Table3[[#This Row],[MATCHES]]-Table3[[#This Row],[Number of wins]]</f>
        <v>2097.9308000000001</v>
      </c>
      <c r="J95" s="4" t="str">
        <f>VLOOKUP(Table3[[#This Row],[GOD]],' Raw Data for God Type'!A:I,2)</f>
        <v>Egyptian</v>
      </c>
      <c r="K95" s="4" t="str">
        <f>VLOOKUP(Table3[[#This Row],[GOD]],' Raw Data for God Type'!A:I,5)</f>
        <v>Assassin</v>
      </c>
      <c r="L95" s="4" t="str">
        <f>VLOOKUP(Table3[[#This Row],[GOD]],' Raw Data for God Type'!A:I,6)</f>
        <v>Average</v>
      </c>
      <c r="M95" s="4" t="str">
        <f>VLOOKUP(Table3[[#This Row],[GOD]],' Raw Data for God Type'!A:I,3)</f>
        <v>Melee</v>
      </c>
      <c r="N95" s="4" t="str">
        <f>VLOOKUP(Table3[[#This Row],[GOD]],' Raw Data for God Type'!A:I,4)</f>
        <v>Physical</v>
      </c>
    </row>
    <row r="96" spans="1:14" x14ac:dyDescent="0.25">
      <c r="A96" s="4" t="s">
        <v>219</v>
      </c>
      <c r="B96" s="4">
        <v>0.46939999999999998</v>
      </c>
      <c r="C96" s="4">
        <v>4959</v>
      </c>
      <c r="D96" s="4">
        <v>1.68</v>
      </c>
      <c r="E96" s="4">
        <v>15706</v>
      </c>
      <c r="F96" s="4">
        <v>23</v>
      </c>
      <c r="G96" s="4">
        <v>16642</v>
      </c>
      <c r="H96" s="5">
        <f>Table3[[#This Row],[MATCHES]]*Table3[[#This Row],[WIN RATE]]</f>
        <v>2327.7545999999998</v>
      </c>
      <c r="I96" s="5">
        <f>Table3[[#This Row],[MATCHES]]-Table3[[#This Row],[Number of wins]]</f>
        <v>2631.2454000000002</v>
      </c>
      <c r="J96" s="4" t="str">
        <f>VLOOKUP(Table3[[#This Row],[GOD]],' Raw Data for God Type'!A:I,2)</f>
        <v>Egyptian</v>
      </c>
      <c r="K96" s="4" t="str">
        <f>VLOOKUP(Table3[[#This Row],[GOD]],' Raw Data for God Type'!A:I,5)</f>
        <v>Assassin</v>
      </c>
      <c r="L96" s="4" t="str">
        <f>VLOOKUP(Table3[[#This Row],[GOD]],' Raw Data for God Type'!A:I,6)</f>
        <v>Average</v>
      </c>
      <c r="M96" s="4" t="str">
        <f>VLOOKUP(Table3[[#This Row],[GOD]],' Raw Data for God Type'!A:I,3)</f>
        <v>Melee</v>
      </c>
      <c r="N96" s="4" t="str">
        <f>VLOOKUP(Table3[[#This Row],[GOD]],' Raw Data for God Type'!A:I,4)</f>
        <v>Physical</v>
      </c>
    </row>
    <row r="97" spans="1:14" x14ac:dyDescent="0.25">
      <c r="A97" s="4" t="s">
        <v>36</v>
      </c>
      <c r="B97" s="4">
        <v>0.53600000000000003</v>
      </c>
      <c r="C97" s="4">
        <v>17032</v>
      </c>
      <c r="D97" s="4">
        <v>2.02</v>
      </c>
      <c r="E97" s="4">
        <v>17322</v>
      </c>
      <c r="F97" s="4">
        <v>819</v>
      </c>
      <c r="G97" s="4">
        <v>29074</v>
      </c>
      <c r="H97" s="5">
        <f>Table3[[#This Row],[MATCHES]]*Table3[[#This Row],[WIN RATE]]</f>
        <v>9129.152</v>
      </c>
      <c r="I97" s="5">
        <f>Table3[[#This Row],[MATCHES]]-Table3[[#This Row],[Number of wins]]</f>
        <v>7902.848</v>
      </c>
      <c r="J97" s="4" t="str">
        <f>VLOOKUP(Table3[[#This Row],[GOD]],' Raw Data for God Type'!A:I,2)</f>
        <v>Hindu</v>
      </c>
      <c r="K97" s="4" t="str">
        <f>VLOOKUP(Table3[[#This Row],[GOD]],' Raw Data for God Type'!A:I,5)</f>
        <v>Warrior</v>
      </c>
      <c r="L97" s="4" t="str">
        <f>VLOOKUP(Table3[[#This Row],[GOD]],' Raw Data for God Type'!A:I,6)</f>
        <v>Average</v>
      </c>
      <c r="M97" s="4" t="str">
        <f>VLOOKUP(Table3[[#This Row],[GOD]],' Raw Data for God Type'!A:I,3)</f>
        <v>Melee</v>
      </c>
      <c r="N97" s="4" t="str">
        <f>VLOOKUP(Table3[[#This Row],[GOD]],' Raw Data for God Type'!A:I,4)</f>
        <v>Physical</v>
      </c>
    </row>
    <row r="98" spans="1:14" x14ac:dyDescent="0.25">
      <c r="A98" s="4" t="s">
        <v>58</v>
      </c>
      <c r="B98" s="4">
        <v>0.52829999999999999</v>
      </c>
      <c r="C98" s="4">
        <v>12912</v>
      </c>
      <c r="D98" s="4">
        <v>1.6</v>
      </c>
      <c r="E98" s="4">
        <v>18504</v>
      </c>
      <c r="F98" s="4">
        <v>53</v>
      </c>
      <c r="G98" s="4">
        <v>7198</v>
      </c>
      <c r="H98" s="5">
        <f>Table3[[#This Row],[MATCHES]]*Table3[[#This Row],[WIN RATE]]</f>
        <v>6821.4096</v>
      </c>
      <c r="I98" s="5">
        <f>Table3[[#This Row],[MATCHES]]-Table3[[#This Row],[Number of wins]]</f>
        <v>6090.5904</v>
      </c>
      <c r="J98" s="4" t="str">
        <f>VLOOKUP(Table3[[#This Row],[GOD]],' Raw Data for God Type'!A:I,2)</f>
        <v>Norse</v>
      </c>
      <c r="K98" s="4" t="str">
        <f>VLOOKUP(Table3[[#This Row],[GOD]],' Raw Data for God Type'!A:I,5)</f>
        <v>Hunter</v>
      </c>
      <c r="L98" s="4" t="str">
        <f>VLOOKUP(Table3[[#This Row],[GOD]],' Raw Data for God Type'!A:I,6)</f>
        <v>Hard</v>
      </c>
      <c r="M98" s="4" t="str">
        <f>VLOOKUP(Table3[[#This Row],[GOD]],' Raw Data for God Type'!A:I,3)</f>
        <v>Ranged</v>
      </c>
      <c r="N98" s="4" t="str">
        <f>VLOOKUP(Table3[[#This Row],[GOD]],' Raw Data for God Type'!A:I,4)</f>
        <v>Physical</v>
      </c>
    </row>
    <row r="99" spans="1:14" x14ac:dyDescent="0.25">
      <c r="A99" s="4" t="s">
        <v>201</v>
      </c>
      <c r="B99" s="4">
        <v>0.47310000000000002</v>
      </c>
      <c r="C99" s="4">
        <v>10847</v>
      </c>
      <c r="D99" s="4">
        <v>1.86</v>
      </c>
      <c r="E99" s="4">
        <v>10519</v>
      </c>
      <c r="F99" s="4">
        <v>444</v>
      </c>
      <c r="G99" s="4">
        <v>37773</v>
      </c>
      <c r="H99" s="5">
        <f>Table3[[#This Row],[MATCHES]]*Table3[[#This Row],[WIN RATE]]</f>
        <v>5131.7157000000007</v>
      </c>
      <c r="I99" s="5">
        <f>Table3[[#This Row],[MATCHES]]-Table3[[#This Row],[Number of wins]]</f>
        <v>5715.2842999999993</v>
      </c>
      <c r="J99" s="4" t="str">
        <f>VLOOKUP(Table3[[#This Row],[GOD]],' Raw Data for God Type'!A:I,2)</f>
        <v>Egyptian</v>
      </c>
      <c r="K99" s="4" t="str">
        <f>VLOOKUP(Table3[[#This Row],[GOD]],' Raw Data for God Type'!A:I,5)</f>
        <v>Guardian</v>
      </c>
      <c r="L99" s="4" t="str">
        <f>VLOOKUP(Table3[[#This Row],[GOD]],' Raw Data for God Type'!A:I,6)</f>
        <v>Easy</v>
      </c>
      <c r="M99" s="4" t="str">
        <f>VLOOKUP(Table3[[#This Row],[GOD]],' Raw Data for God Type'!A:I,3)</f>
        <v>Melee</v>
      </c>
      <c r="N99" s="4" t="str">
        <f>VLOOKUP(Table3[[#This Row],[GOD]],' Raw Data for God Type'!A:I,4)</f>
        <v>Magical</v>
      </c>
    </row>
    <row r="100" spans="1:14" x14ac:dyDescent="0.25">
      <c r="A100" s="4" t="s">
        <v>169</v>
      </c>
      <c r="B100" s="4">
        <v>0.49230000000000002</v>
      </c>
      <c r="C100" s="4">
        <v>8060</v>
      </c>
      <c r="D100" s="4">
        <v>1.43</v>
      </c>
      <c r="E100" s="4">
        <v>17532</v>
      </c>
      <c r="F100" s="4">
        <v>47</v>
      </c>
      <c r="G100" s="4">
        <v>7663</v>
      </c>
      <c r="H100" s="5">
        <f>Table3[[#This Row],[MATCHES]]*Table3[[#This Row],[WIN RATE]]</f>
        <v>3967.9380000000001</v>
      </c>
      <c r="I100" s="5">
        <f>Table3[[#This Row],[MATCHES]]-Table3[[#This Row],[Number of wins]]</f>
        <v>4092.0619999999999</v>
      </c>
      <c r="J100" s="4" t="str">
        <f>VLOOKUP(Table3[[#This Row],[GOD]],' Raw Data for God Type'!A:I,2)</f>
        <v>Norse</v>
      </c>
      <c r="K100" s="4" t="str">
        <f>VLOOKUP(Table3[[#This Row],[GOD]],' Raw Data for God Type'!A:I,5)</f>
        <v>Mage</v>
      </c>
      <c r="L100" s="4" t="str">
        <f>VLOOKUP(Table3[[#This Row],[GOD]],' Raw Data for God Type'!A:I,6)</f>
        <v>Hard</v>
      </c>
      <c r="M100" s="4" t="str">
        <f>VLOOKUP(Table3[[#This Row],[GOD]],' Raw Data for God Type'!A:I,3)</f>
        <v>Ranged</v>
      </c>
      <c r="N100" s="4" t="str">
        <f>VLOOKUP(Table3[[#This Row],[GOD]],' Raw Data for God Type'!A:I,4)</f>
        <v>Magical</v>
      </c>
    </row>
    <row r="101" spans="1:14" x14ac:dyDescent="0.25">
      <c r="A101" s="4" t="s">
        <v>109</v>
      </c>
      <c r="B101" s="4">
        <v>0.50819999999999999</v>
      </c>
      <c r="C101" s="4">
        <v>8274</v>
      </c>
      <c r="D101" s="4">
        <v>2.09</v>
      </c>
      <c r="E101" s="4">
        <v>16329</v>
      </c>
      <c r="F101" s="4">
        <v>64</v>
      </c>
      <c r="G101" s="4">
        <v>26887</v>
      </c>
      <c r="H101" s="5">
        <f>Table3[[#This Row],[MATCHES]]*Table3[[#This Row],[WIN RATE]]</f>
        <v>4204.8468000000003</v>
      </c>
      <c r="I101" s="5">
        <f>Table3[[#This Row],[MATCHES]]-Table3[[#This Row],[Number of wins]]</f>
        <v>4069.1531999999997</v>
      </c>
      <c r="J101" s="4" t="str">
        <f>VLOOKUP(Table3[[#This Row],[GOD]],' Raw Data for God Type'!A:I,2)</f>
        <v>Chinese</v>
      </c>
      <c r="K101" s="4" t="str">
        <f>VLOOKUP(Table3[[#This Row],[GOD]],' Raw Data for God Type'!A:I,5)</f>
        <v>Warrior</v>
      </c>
      <c r="L101" s="4" t="str">
        <f>VLOOKUP(Table3[[#This Row],[GOD]],' Raw Data for God Type'!A:I,6)</f>
        <v>Average</v>
      </c>
      <c r="M101" s="4" t="str">
        <f>VLOOKUP(Table3[[#This Row],[GOD]],' Raw Data for God Type'!A:I,3)</f>
        <v>Melee</v>
      </c>
      <c r="N101" s="4" t="str">
        <f>VLOOKUP(Table3[[#This Row],[GOD]],' Raw Data for God Type'!A:I,4)</f>
        <v>Physical</v>
      </c>
    </row>
    <row r="102" spans="1:14" x14ac:dyDescent="0.25">
      <c r="A102" s="4" t="s">
        <v>185</v>
      </c>
      <c r="B102" s="4">
        <v>0.4793</v>
      </c>
      <c r="C102" s="4">
        <v>6835</v>
      </c>
      <c r="D102" s="4">
        <v>1.88</v>
      </c>
      <c r="E102" s="4">
        <v>17663</v>
      </c>
      <c r="F102" s="4">
        <v>14</v>
      </c>
      <c r="G102" s="4">
        <v>10588</v>
      </c>
      <c r="H102" s="5">
        <f>Table3[[#This Row],[MATCHES]]*Table3[[#This Row],[WIN RATE]]</f>
        <v>3276.0155</v>
      </c>
      <c r="I102" s="5">
        <f>Table3[[#This Row],[MATCHES]]-Table3[[#This Row],[Number of wins]]</f>
        <v>3558.9845</v>
      </c>
      <c r="J102" s="4" t="str">
        <f>VLOOKUP(Table3[[#This Row],[GOD]],' Raw Data for God Type'!A:I,2)</f>
        <v>Japanese</v>
      </c>
      <c r="K102" s="4" t="str">
        <f>VLOOKUP(Table3[[#This Row],[GOD]],' Raw Data for God Type'!A:I,5)</f>
        <v>Assassin</v>
      </c>
      <c r="L102" s="4" t="str">
        <f>VLOOKUP(Table3[[#This Row],[GOD]],' Raw Data for God Type'!A:I,6)</f>
        <v>Hard</v>
      </c>
      <c r="M102" s="4" t="str">
        <f>VLOOKUP(Table3[[#This Row],[GOD]],' Raw Data for God Type'!A:I,3)</f>
        <v>Melee</v>
      </c>
      <c r="N102" s="4" t="str">
        <f>VLOOKUP(Table3[[#This Row],[GOD]],' Raw Data for God Type'!A:I,4)</f>
        <v>Physical</v>
      </c>
    </row>
    <row r="103" spans="1:14" x14ac:dyDescent="0.25">
      <c r="A103" s="4" t="s">
        <v>138</v>
      </c>
      <c r="B103" s="4">
        <v>0.50229999999999997</v>
      </c>
      <c r="C103" s="4">
        <v>12166</v>
      </c>
      <c r="D103" s="4">
        <v>1.62</v>
      </c>
      <c r="E103" s="4">
        <v>11894</v>
      </c>
      <c r="F103" s="4">
        <v>3517</v>
      </c>
      <c r="G103" s="4">
        <v>30092</v>
      </c>
      <c r="H103" s="5">
        <f>Table3[[#This Row],[MATCHES]]*Table3[[#This Row],[WIN RATE]]</f>
        <v>6110.9817999999996</v>
      </c>
      <c r="I103" s="5">
        <f>Table3[[#This Row],[MATCHES]]-Table3[[#This Row],[Number of wins]]</f>
        <v>6055.0182000000004</v>
      </c>
      <c r="J103" s="4" t="str">
        <f>VLOOKUP(Table3[[#This Row],[GOD]],' Raw Data for God Type'!A:I,2)</f>
        <v>Roman</v>
      </c>
      <c r="K103" s="4" t="str">
        <f>VLOOKUP(Table3[[#This Row],[GOD]],' Raw Data for God Type'!A:I,5)</f>
        <v>Guardian</v>
      </c>
      <c r="L103" s="4" t="str">
        <f>VLOOKUP(Table3[[#This Row],[GOD]],' Raw Data for God Type'!A:I,6)</f>
        <v>Average</v>
      </c>
      <c r="M103" s="4" t="str">
        <f>VLOOKUP(Table3[[#This Row],[GOD]],' Raw Data for God Type'!A:I,3)</f>
        <v>Ranged</v>
      </c>
      <c r="N103" s="4" t="str">
        <f>VLOOKUP(Table3[[#This Row],[GOD]],' Raw Data for God Type'!A:I,4)</f>
        <v>Magical</v>
      </c>
    </row>
    <row r="104" spans="1:14" x14ac:dyDescent="0.25">
      <c r="A104" s="4" t="s">
        <v>107</v>
      </c>
      <c r="B104" s="4">
        <v>0.50939999999999996</v>
      </c>
      <c r="C104" s="4">
        <v>3610</v>
      </c>
      <c r="D104" s="4">
        <v>1.94</v>
      </c>
      <c r="E104" s="4">
        <v>9658</v>
      </c>
      <c r="F104" s="4">
        <v>3487</v>
      </c>
      <c r="G104" s="4">
        <v>32498</v>
      </c>
      <c r="H104" s="5">
        <f>Table3[[#This Row],[MATCHES]]*Table3[[#This Row],[WIN RATE]]</f>
        <v>1838.934</v>
      </c>
      <c r="I104" s="5">
        <f>Table3[[#This Row],[MATCHES]]-Table3[[#This Row],[Number of wins]]</f>
        <v>1771.066</v>
      </c>
      <c r="J104" s="4" t="str">
        <f>VLOOKUP(Table3[[#This Row],[GOD]],' Raw Data for God Type'!A:I,2)</f>
        <v>Roman</v>
      </c>
      <c r="K104" s="4" t="str">
        <f>VLOOKUP(Table3[[#This Row],[GOD]],' Raw Data for God Type'!A:I,5)</f>
        <v>Guardian</v>
      </c>
      <c r="L104" s="4" t="str">
        <f>VLOOKUP(Table3[[#This Row],[GOD]],' Raw Data for God Type'!A:I,6)</f>
        <v>Hard</v>
      </c>
      <c r="M104" s="4" t="str">
        <f>VLOOKUP(Table3[[#This Row],[GOD]],' Raw Data for God Type'!A:I,3)</f>
        <v>Melee</v>
      </c>
      <c r="N104" s="4" t="str">
        <f>VLOOKUP(Table3[[#This Row],[GOD]],' Raw Data for God Type'!A:I,4)</f>
        <v>Magical</v>
      </c>
    </row>
    <row r="105" spans="1:14" x14ac:dyDescent="0.25">
      <c r="A105" s="4" t="s">
        <v>175</v>
      </c>
      <c r="B105" s="4">
        <v>0.4844</v>
      </c>
      <c r="C105" s="4">
        <v>16095</v>
      </c>
      <c r="D105" s="4">
        <v>1.75</v>
      </c>
      <c r="E105" s="4">
        <v>15721</v>
      </c>
      <c r="F105" s="4">
        <v>20</v>
      </c>
      <c r="G105" s="4">
        <v>11027</v>
      </c>
      <c r="H105" s="5">
        <f>Table3[[#This Row],[MATCHES]]*Table3[[#This Row],[WIN RATE]]</f>
        <v>7796.4179999999997</v>
      </c>
      <c r="I105" s="5">
        <f>Table3[[#This Row],[MATCHES]]-Table3[[#This Row],[Number of wins]]</f>
        <v>8298.5820000000003</v>
      </c>
      <c r="J105" s="4" t="str">
        <f>VLOOKUP(Table3[[#This Row],[GOD]],' Raw Data for God Type'!A:I,2)</f>
        <v>Greek</v>
      </c>
      <c r="K105" s="4" t="str">
        <f>VLOOKUP(Table3[[#This Row],[GOD]],' Raw Data for God Type'!A:I,5)</f>
        <v>Assassin</v>
      </c>
      <c r="L105" s="4" t="str">
        <f>VLOOKUP(Table3[[#This Row],[GOD]],' Raw Data for God Type'!A:I,6)</f>
        <v>Average</v>
      </c>
      <c r="M105" s="4" t="str">
        <f>VLOOKUP(Table3[[#This Row],[GOD]],' Raw Data for God Type'!A:I,3)</f>
        <v>Melee</v>
      </c>
      <c r="N105" s="4" t="str">
        <f>VLOOKUP(Table3[[#This Row],[GOD]],' Raw Data for God Type'!A:I,4)</f>
        <v>Physical</v>
      </c>
    </row>
    <row r="106" spans="1:14" x14ac:dyDescent="0.25">
      <c r="A106" s="4" t="s">
        <v>193</v>
      </c>
      <c r="B106" s="4">
        <v>0.47739999999999999</v>
      </c>
      <c r="C106" s="4">
        <v>4661</v>
      </c>
      <c r="D106" s="4">
        <v>1.56</v>
      </c>
      <c r="E106" s="4">
        <v>15865</v>
      </c>
      <c r="F106" s="4">
        <v>102</v>
      </c>
      <c r="G106" s="4">
        <v>6499</v>
      </c>
      <c r="H106" s="5">
        <f>Table3[[#This Row],[MATCHES]]*Table3[[#This Row],[WIN RATE]]</f>
        <v>2225.1614</v>
      </c>
      <c r="I106" s="5">
        <f>Table3[[#This Row],[MATCHES]]-Table3[[#This Row],[Number of wins]]</f>
        <v>2435.8386</v>
      </c>
      <c r="J106" s="4" t="str">
        <f>VLOOKUP(Table3[[#This Row],[GOD]],' Raw Data for God Type'!A:I,2)</f>
        <v>Celtic</v>
      </c>
      <c r="K106" s="4" t="str">
        <f>VLOOKUP(Table3[[#This Row],[GOD]],' Raw Data for God Type'!A:I,5)</f>
        <v>Mage</v>
      </c>
      <c r="L106" s="4" t="str">
        <f>VLOOKUP(Table3[[#This Row],[GOD]],' Raw Data for God Type'!A:I,6)</f>
        <v>Very Hard</v>
      </c>
      <c r="M106" s="4" t="str">
        <f>VLOOKUP(Table3[[#This Row],[GOD]],' Raw Data for God Type'!A:I,3)</f>
        <v>Ranged</v>
      </c>
      <c r="N106" s="4" t="str">
        <f>VLOOKUP(Table3[[#This Row],[GOD]],' Raw Data for God Type'!A:I,4)</f>
        <v>Magical</v>
      </c>
    </row>
    <row r="107" spans="1:14" x14ac:dyDescent="0.25">
      <c r="A107" s="4" t="s">
        <v>233</v>
      </c>
      <c r="B107" s="4">
        <v>0.45679999999999998</v>
      </c>
      <c r="C107" s="4">
        <v>7566</v>
      </c>
      <c r="D107" s="4">
        <v>1.78</v>
      </c>
      <c r="E107" s="4">
        <v>14672</v>
      </c>
      <c r="F107" s="4">
        <v>29</v>
      </c>
      <c r="G107" s="4">
        <v>11619</v>
      </c>
      <c r="H107" s="5">
        <f>Table3[[#This Row],[MATCHES]]*Table3[[#This Row],[WIN RATE]]</f>
        <v>3456.1487999999999</v>
      </c>
      <c r="I107" s="5">
        <f>Table3[[#This Row],[MATCHES]]-Table3[[#This Row],[Number of wins]]</f>
        <v>4109.8512000000001</v>
      </c>
      <c r="J107" s="4" t="str">
        <f>VLOOKUP(Table3[[#This Row],[GOD]],' Raw Data for God Type'!A:I,2)</f>
        <v>Norse</v>
      </c>
      <c r="K107" s="4" t="str">
        <f>VLOOKUP(Table3[[#This Row],[GOD]],' Raw Data for God Type'!A:I,5)</f>
        <v>Assassin</v>
      </c>
      <c r="L107" s="4" t="str">
        <f>VLOOKUP(Table3[[#This Row],[GOD]],' Raw Data for God Type'!A:I,6)</f>
        <v>Hard</v>
      </c>
      <c r="M107" s="4" t="str">
        <f>VLOOKUP(Table3[[#This Row],[GOD]],' Raw Data for God Type'!A:I,3)</f>
        <v>Melee</v>
      </c>
      <c r="N107" s="4" t="str">
        <f>VLOOKUP(Table3[[#This Row],[GOD]],' Raw Data for God Type'!A:I,4)</f>
        <v>Physical</v>
      </c>
    </row>
    <row r="108" spans="1:14" x14ac:dyDescent="0.25">
      <c r="A108" s="4" t="s">
        <v>241</v>
      </c>
      <c r="B108" s="4">
        <v>0.43830000000000002</v>
      </c>
      <c r="C108" s="4">
        <v>5435</v>
      </c>
      <c r="D108" s="4">
        <v>1.36</v>
      </c>
      <c r="E108" s="4">
        <v>15616</v>
      </c>
      <c r="F108" s="4">
        <v>53</v>
      </c>
      <c r="G108" s="4">
        <v>5570</v>
      </c>
      <c r="H108" s="5">
        <f>Table3[[#This Row],[MATCHES]]*Table3[[#This Row],[WIN RATE]]</f>
        <v>2382.1605</v>
      </c>
      <c r="I108" s="5">
        <f>Table3[[#This Row],[MATCHES]]-Table3[[#This Row],[Number of wins]]</f>
        <v>3052.8395</v>
      </c>
      <c r="J108" s="4" t="str">
        <f>VLOOKUP(Table3[[#This Row],[GOD]],' Raw Data for God Type'!A:I,2)</f>
        <v>Egyptian</v>
      </c>
      <c r="K108" s="4" t="str">
        <f>VLOOKUP(Table3[[#This Row],[GOD]],' Raw Data for God Type'!A:I,5)</f>
        <v>Mage</v>
      </c>
      <c r="L108" s="4" t="str">
        <f>VLOOKUP(Table3[[#This Row],[GOD]],' Raw Data for God Type'!A:I,6)</f>
        <v>Average</v>
      </c>
      <c r="M108" s="4" t="str">
        <f>VLOOKUP(Table3[[#This Row],[GOD]],' Raw Data for God Type'!A:I,3)</f>
        <v>Ranged</v>
      </c>
      <c r="N108" s="4" t="str">
        <f>VLOOKUP(Table3[[#This Row],[GOD]],' Raw Data for God Type'!A:I,4)</f>
        <v>Magical</v>
      </c>
    </row>
    <row r="109" spans="1:14" x14ac:dyDescent="0.25">
      <c r="A109" s="4" t="s">
        <v>195</v>
      </c>
      <c r="B109" s="4">
        <v>0.47670000000000001</v>
      </c>
      <c r="C109" s="4">
        <v>6812</v>
      </c>
      <c r="D109" s="4">
        <v>1.54</v>
      </c>
      <c r="E109" s="4">
        <v>17516</v>
      </c>
      <c r="F109" s="4">
        <v>148</v>
      </c>
      <c r="G109" s="4">
        <v>14226</v>
      </c>
      <c r="H109" s="5">
        <f>Table3[[#This Row],[MATCHES]]*Table3[[#This Row],[WIN RATE]]</f>
        <v>3247.2804000000001</v>
      </c>
      <c r="I109" s="5">
        <f>Table3[[#This Row],[MATCHES]]-Table3[[#This Row],[Number of wins]]</f>
        <v>3564.7195999999999</v>
      </c>
      <c r="J109" s="4" t="str">
        <f>VLOOKUP(Table3[[#This Row],[GOD]],' Raw Data for God Type'!A:I,2)</f>
        <v>Babylonian</v>
      </c>
      <c r="K109" s="4" t="str">
        <f>VLOOKUP(Table3[[#This Row],[GOD]],' Raw Data for God Type'!A:I,5)</f>
        <v>Mage</v>
      </c>
      <c r="L109" s="4" t="str">
        <f>VLOOKUP(Table3[[#This Row],[GOD]],' Raw Data for God Type'!A:I,6)</f>
        <v>Hard</v>
      </c>
      <c r="M109" s="4" t="str">
        <f>VLOOKUP(Table3[[#This Row],[GOD]],' Raw Data for God Type'!A:I,3)</f>
        <v>Ranged</v>
      </c>
      <c r="N109" s="4" t="str">
        <f>VLOOKUP(Table3[[#This Row],[GOD]],' Raw Data for God Type'!A:I,4)</f>
        <v>Magical</v>
      </c>
    </row>
    <row r="110" spans="1:14" x14ac:dyDescent="0.25">
      <c r="A110" s="4" t="s">
        <v>117</v>
      </c>
      <c r="B110" s="4">
        <v>0.50739999999999996</v>
      </c>
      <c r="C110" s="4">
        <v>8888</v>
      </c>
      <c r="D110" s="4">
        <v>1.65</v>
      </c>
      <c r="E110" s="4">
        <v>18798</v>
      </c>
      <c r="F110" s="4">
        <v>23</v>
      </c>
      <c r="G110" s="4">
        <v>12219</v>
      </c>
      <c r="H110" s="5">
        <f>Table3[[#This Row],[MATCHES]]*Table3[[#This Row],[WIN RATE]]</f>
        <v>4509.7711999999992</v>
      </c>
      <c r="I110" s="5">
        <f>Table3[[#This Row],[MATCHES]]-Table3[[#This Row],[Number of wins]]</f>
        <v>4378.2288000000008</v>
      </c>
      <c r="J110" s="4" t="str">
        <f>VLOOKUP(Table3[[#This Row],[GOD]],' Raw Data for God Type'!A:I,2)</f>
        <v>Japanese</v>
      </c>
      <c r="K110" s="4" t="str">
        <f>VLOOKUP(Table3[[#This Row],[GOD]],' Raw Data for God Type'!A:I,5)</f>
        <v>Assassin</v>
      </c>
      <c r="L110" s="4" t="str">
        <f>VLOOKUP(Table3[[#This Row],[GOD]],' Raw Data for God Type'!A:I,6)</f>
        <v>Average</v>
      </c>
      <c r="M110" s="4" t="str">
        <f>VLOOKUP(Table3[[#This Row],[GOD]],' Raw Data for God Type'!A:I,3)</f>
        <v>Melee</v>
      </c>
      <c r="N110" s="4" t="str">
        <f>VLOOKUP(Table3[[#This Row],[GOD]],' Raw Data for God Type'!A:I,4)</f>
        <v>Physical</v>
      </c>
    </row>
    <row r="111" spans="1:14" x14ac:dyDescent="0.25">
      <c r="A111" s="4" t="s">
        <v>223</v>
      </c>
      <c r="B111" s="4">
        <v>0.46310000000000001</v>
      </c>
      <c r="C111" s="4">
        <v>9400</v>
      </c>
      <c r="D111" s="4">
        <v>1.79</v>
      </c>
      <c r="E111" s="4">
        <v>14863</v>
      </c>
      <c r="F111" s="4">
        <v>58</v>
      </c>
      <c r="G111" s="4">
        <v>30278</v>
      </c>
      <c r="H111" s="5">
        <f>Table3[[#This Row],[MATCHES]]*Table3[[#This Row],[WIN RATE]]</f>
        <v>4353.1400000000003</v>
      </c>
      <c r="I111" s="5">
        <f>Table3[[#This Row],[MATCHES]]-Table3[[#This Row],[Number of wins]]</f>
        <v>5046.8599999999997</v>
      </c>
      <c r="J111" s="4" t="str">
        <f>VLOOKUP(Table3[[#This Row],[GOD]],' Raw Data for God Type'!A:I,2)</f>
        <v>Norse</v>
      </c>
      <c r="K111" s="4" t="str">
        <f>VLOOKUP(Table3[[#This Row],[GOD]],' Raw Data for God Type'!A:I,5)</f>
        <v>Warrior</v>
      </c>
      <c r="L111" s="4" t="str">
        <f>VLOOKUP(Table3[[#This Row],[GOD]],' Raw Data for God Type'!A:I,6)</f>
        <v>Hard</v>
      </c>
      <c r="M111" s="4" t="str">
        <f>VLOOKUP(Table3[[#This Row],[GOD]],' Raw Data for God Type'!A:I,3)</f>
        <v>Melee</v>
      </c>
      <c r="N111" s="4" t="str">
        <f>VLOOKUP(Table3[[#This Row],[GOD]],' Raw Data for God Type'!A:I,4)</f>
        <v>Physical</v>
      </c>
    </row>
    <row r="112" spans="1:14" x14ac:dyDescent="0.25">
      <c r="A112" s="4" t="s">
        <v>217</v>
      </c>
      <c r="B112" s="4">
        <v>0.47060000000000002</v>
      </c>
      <c r="C112" s="4">
        <v>15960</v>
      </c>
      <c r="D112" s="4">
        <v>1.67</v>
      </c>
      <c r="E112" s="4">
        <v>15963</v>
      </c>
      <c r="F112" s="4">
        <v>14</v>
      </c>
      <c r="G112" s="4">
        <v>8255</v>
      </c>
      <c r="H112" s="5">
        <f>Table3[[#This Row],[MATCHES]]*Table3[[#This Row],[WIN RATE]]</f>
        <v>7510.7759999999998</v>
      </c>
      <c r="I112" s="5">
        <f>Table3[[#This Row],[MATCHES]]-Table3[[#This Row],[Number of wins]]</f>
        <v>8449.2240000000002</v>
      </c>
      <c r="J112" s="4" t="str">
        <f>VLOOKUP(Table3[[#This Row],[GOD]],' Raw Data for God Type'!A:I,2)</f>
        <v>Norse</v>
      </c>
      <c r="K112" s="4" t="str">
        <f>VLOOKUP(Table3[[#This Row],[GOD]],' Raw Data for God Type'!A:I,5)</f>
        <v>Hunter</v>
      </c>
      <c r="L112" s="4" t="str">
        <f>VLOOKUP(Table3[[#This Row],[GOD]],' Raw Data for God Type'!A:I,6)</f>
        <v>Hard</v>
      </c>
      <c r="M112" s="4" t="str">
        <f>VLOOKUP(Table3[[#This Row],[GOD]],' Raw Data for God Type'!A:I,3)</f>
        <v>Ranged</v>
      </c>
      <c r="N112" s="4" t="str">
        <f>VLOOKUP(Table3[[#This Row],[GOD]],' Raw Data for God Type'!A:I,4)</f>
        <v>Physical</v>
      </c>
    </row>
    <row r="113" spans="1:14" x14ac:dyDescent="0.25">
      <c r="A113" s="4" t="s">
        <v>28</v>
      </c>
      <c r="B113" s="4">
        <v>0.54169999999999996</v>
      </c>
      <c r="C113" s="4">
        <v>5546</v>
      </c>
      <c r="D113" s="4">
        <v>1.96</v>
      </c>
      <c r="E113" s="4">
        <v>18301</v>
      </c>
      <c r="F113" s="4">
        <v>85</v>
      </c>
      <c r="G113" s="4">
        <v>30570</v>
      </c>
      <c r="H113" s="5">
        <f>Table3[[#This Row],[MATCHES]]*Table3[[#This Row],[WIN RATE]]</f>
        <v>3004.2682</v>
      </c>
      <c r="I113" s="5">
        <f>Table3[[#This Row],[MATCHES]]-Table3[[#This Row],[Number of wins]]</f>
        <v>2541.7318</v>
      </c>
      <c r="J113" s="4" t="str">
        <f>VLOOKUP(Table3[[#This Row],[GOD]],' Raw Data for God Type'!A:I,2)</f>
        <v>Hindu</v>
      </c>
      <c r="K113" s="4" t="str">
        <f>VLOOKUP(Table3[[#This Row],[GOD]],' Raw Data for God Type'!A:I,5)</f>
        <v>Warrior</v>
      </c>
      <c r="L113" s="4" t="str">
        <f>VLOOKUP(Table3[[#This Row],[GOD]],' Raw Data for God Type'!A:I,6)</f>
        <v>Average</v>
      </c>
      <c r="M113" s="4" t="str">
        <f>VLOOKUP(Table3[[#This Row],[GOD]],' Raw Data for God Type'!A:I,3)</f>
        <v>Melee</v>
      </c>
      <c r="N113" s="4" t="str">
        <f>VLOOKUP(Table3[[#This Row],[GOD]],' Raw Data for God Type'!A:I,4)</f>
        <v>Physical</v>
      </c>
    </row>
    <row r="114" spans="1:14" x14ac:dyDescent="0.25">
      <c r="A114" s="4" t="s">
        <v>84</v>
      </c>
      <c r="B114" s="4">
        <v>0.51470000000000005</v>
      </c>
      <c r="C114" s="4">
        <v>5603</v>
      </c>
      <c r="D114" s="4">
        <v>1.5</v>
      </c>
      <c r="E114" s="4">
        <v>20739</v>
      </c>
      <c r="F114" s="4">
        <v>74</v>
      </c>
      <c r="G114" s="4">
        <v>6583</v>
      </c>
      <c r="H114" s="5">
        <f>Table3[[#This Row],[MATCHES]]*Table3[[#This Row],[WIN RATE]]</f>
        <v>2883.8641000000002</v>
      </c>
      <c r="I114" s="5">
        <f>Table3[[#This Row],[MATCHES]]-Table3[[#This Row],[Number of wins]]</f>
        <v>2719.1358999999998</v>
      </c>
      <c r="J114" s="4" t="str">
        <f>VLOOKUP(Table3[[#This Row],[GOD]],' Raw Data for God Type'!A:I,2)</f>
        <v>Roman</v>
      </c>
      <c r="K114" s="4" t="str">
        <f>VLOOKUP(Table3[[#This Row],[GOD]],' Raw Data for God Type'!A:I,5)</f>
        <v>Mage</v>
      </c>
      <c r="L114" s="4" t="str">
        <f>VLOOKUP(Table3[[#This Row],[GOD]],' Raw Data for God Type'!A:I,6)</f>
        <v>Average</v>
      </c>
      <c r="M114" s="4" t="str">
        <f>VLOOKUP(Table3[[#This Row],[GOD]],' Raw Data for God Type'!A:I,3)</f>
        <v>Ranged</v>
      </c>
      <c r="N114" s="4" t="str">
        <f>VLOOKUP(Table3[[#This Row],[GOD]],' Raw Data for God Type'!A:I,4)</f>
        <v>Magical</v>
      </c>
    </row>
    <row r="115" spans="1:14" x14ac:dyDescent="0.25">
      <c r="A115" s="4" t="s">
        <v>12</v>
      </c>
      <c r="B115" s="4">
        <v>0.5504</v>
      </c>
      <c r="C115" s="4">
        <v>7693</v>
      </c>
      <c r="D115" s="4">
        <v>1.7</v>
      </c>
      <c r="E115" s="4">
        <v>19638</v>
      </c>
      <c r="F115" s="4">
        <v>30</v>
      </c>
      <c r="G115" s="4">
        <v>8084</v>
      </c>
      <c r="H115" s="5">
        <f>Table3[[#This Row],[MATCHES]]*Table3[[#This Row],[WIN RATE]]</f>
        <v>4234.2272000000003</v>
      </c>
      <c r="I115" s="5">
        <f>Table3[[#This Row],[MATCHES]]-Table3[[#This Row],[Number of wins]]</f>
        <v>3458.7727999999997</v>
      </c>
      <c r="J115" s="4" t="str">
        <f>VLOOKUP(Table3[[#This Row],[GOD]],' Raw Data for God Type'!A:I,2)</f>
        <v>Maya</v>
      </c>
      <c r="K115" s="4" t="str">
        <f>VLOOKUP(Table3[[#This Row],[GOD]],' Raw Data for God Type'!A:I,5)</f>
        <v>Hunter</v>
      </c>
      <c r="L115" s="4" t="str">
        <f>VLOOKUP(Table3[[#This Row],[GOD]],' Raw Data for God Type'!A:I,6)</f>
        <v>Average</v>
      </c>
      <c r="M115" s="4" t="str">
        <f>VLOOKUP(Table3[[#This Row],[GOD]],' Raw Data for God Type'!A:I,3)</f>
        <v>Ranged</v>
      </c>
      <c r="N115" s="4" t="str">
        <f>VLOOKUP(Table3[[#This Row],[GOD]],' Raw Data for God Type'!A:I,4)</f>
        <v>Physical</v>
      </c>
    </row>
    <row r="116" spans="1:14" x14ac:dyDescent="0.25">
      <c r="A116" s="4" t="s">
        <v>56</v>
      </c>
      <c r="B116" s="4">
        <v>0.52859999999999996</v>
      </c>
      <c r="C116" s="4">
        <v>6035</v>
      </c>
      <c r="D116" s="4">
        <v>2.23</v>
      </c>
      <c r="E116" s="4">
        <v>12135</v>
      </c>
      <c r="F116" s="4">
        <v>489</v>
      </c>
      <c r="G116" s="4">
        <v>33695</v>
      </c>
      <c r="H116" s="5">
        <f>Table3[[#This Row],[MATCHES]]*Table3[[#This Row],[WIN RATE]]</f>
        <v>3190.1009999999997</v>
      </c>
      <c r="I116" s="5">
        <f>Table3[[#This Row],[MATCHES]]-Table3[[#This Row],[Number of wins]]</f>
        <v>2844.8990000000003</v>
      </c>
      <c r="J116" s="4" t="str">
        <f>VLOOKUP(Table3[[#This Row],[GOD]],' Raw Data for God Type'!A:I,2)</f>
        <v>Chinese</v>
      </c>
      <c r="K116" s="4" t="str">
        <f>VLOOKUP(Table3[[#This Row],[GOD]],' Raw Data for God Type'!A:I,5)</f>
        <v>Guardian</v>
      </c>
      <c r="L116" s="4" t="str">
        <f>VLOOKUP(Table3[[#This Row],[GOD]],' Raw Data for God Type'!A:I,6)</f>
        <v>Average</v>
      </c>
      <c r="M116" s="4" t="str">
        <f>VLOOKUP(Table3[[#This Row],[GOD]],' Raw Data for God Type'!A:I,3)</f>
        <v>Melee</v>
      </c>
      <c r="N116" s="4" t="str">
        <f>VLOOKUP(Table3[[#This Row],[GOD]],' Raw Data for God Type'!A:I,4)</f>
        <v>Magical</v>
      </c>
    </row>
    <row r="117" spans="1:14" x14ac:dyDescent="0.25">
      <c r="A117" s="4" t="s">
        <v>213</v>
      </c>
      <c r="B117" s="4">
        <v>0.47139999999999999</v>
      </c>
      <c r="C117" s="4">
        <v>5934</v>
      </c>
      <c r="D117" s="4">
        <v>1.89</v>
      </c>
      <c r="E117" s="4">
        <v>8160</v>
      </c>
      <c r="F117" s="4">
        <v>4603</v>
      </c>
      <c r="G117" s="4">
        <v>26152</v>
      </c>
      <c r="H117" s="5">
        <f>Table3[[#This Row],[MATCHES]]*Table3[[#This Row],[WIN RATE]]</f>
        <v>2797.2876000000001</v>
      </c>
      <c r="I117" s="5">
        <f>Table3[[#This Row],[MATCHES]]-Table3[[#This Row],[Number of wins]]</f>
        <v>3136.7123999999999</v>
      </c>
      <c r="J117" s="4" t="str">
        <f>VLOOKUP(Table3[[#This Row],[GOD]],' Raw Data for God Type'!A:I,2)</f>
        <v>Yoruba</v>
      </c>
      <c r="K117" s="4" t="str">
        <f>VLOOKUP(Table3[[#This Row],[GOD]],' Raw Data for God Type'!A:I,5)</f>
        <v>Guardian</v>
      </c>
      <c r="L117" s="4" t="str">
        <f>VLOOKUP(Table3[[#This Row],[GOD]],' Raw Data for God Type'!A:I,6)</f>
        <v>Average</v>
      </c>
      <c r="M117" s="4" t="str">
        <f>VLOOKUP(Table3[[#This Row],[GOD]],' Raw Data for God Type'!A:I,3)</f>
        <v>Ranged</v>
      </c>
      <c r="N117" s="4" t="str">
        <f>VLOOKUP(Table3[[#This Row],[GOD]],' Raw Data for God Type'!A:I,4)</f>
        <v>Magical</v>
      </c>
    </row>
    <row r="118" spans="1:14" x14ac:dyDescent="0.25">
      <c r="A118" s="4" t="s">
        <v>113</v>
      </c>
      <c r="B118" s="4">
        <v>0.50790000000000002</v>
      </c>
      <c r="C118" s="4">
        <v>19262</v>
      </c>
      <c r="D118" s="4">
        <v>1.71</v>
      </c>
      <c r="E118" s="4">
        <v>10366</v>
      </c>
      <c r="F118" s="4">
        <v>406</v>
      </c>
      <c r="G118" s="4">
        <v>29738</v>
      </c>
      <c r="H118" s="5">
        <f>Table3[[#This Row],[MATCHES]]*Table3[[#This Row],[WIN RATE]]</f>
        <v>9783.1697999999997</v>
      </c>
      <c r="I118" s="5">
        <f>Table3[[#This Row],[MATCHES]]-Table3[[#This Row],[Number of wins]]</f>
        <v>9478.8302000000003</v>
      </c>
      <c r="J118" s="4" t="str">
        <f>VLOOKUP(Table3[[#This Row],[GOD]],' Raw Data for God Type'!A:I,2)</f>
        <v>Norse</v>
      </c>
      <c r="K118" s="4" t="str">
        <f>VLOOKUP(Table3[[#This Row],[GOD]],' Raw Data for God Type'!A:I,5)</f>
        <v>Guardian</v>
      </c>
      <c r="L118" s="4" t="str">
        <f>VLOOKUP(Table3[[#This Row],[GOD]],' Raw Data for God Type'!A:I,6)</f>
        <v>Easy</v>
      </c>
      <c r="M118" s="4" t="str">
        <f>VLOOKUP(Table3[[#This Row],[GOD]],' Raw Data for God Type'!A:I,3)</f>
        <v>Melee</v>
      </c>
      <c r="N118" s="4" t="str">
        <f>VLOOKUP(Table3[[#This Row],[GOD]],' Raw Data for God Type'!A:I,4)</f>
        <v>Magical</v>
      </c>
    </row>
    <row r="119" spans="1:14" x14ac:dyDescent="0.25">
      <c r="A119" s="4" t="s">
        <v>237</v>
      </c>
      <c r="B119" s="4">
        <v>0.4506</v>
      </c>
      <c r="C119" s="4">
        <v>78602</v>
      </c>
      <c r="D119" s="4">
        <v>1.4</v>
      </c>
      <c r="E119" s="4">
        <v>16226</v>
      </c>
      <c r="F119" s="4">
        <v>99</v>
      </c>
      <c r="G119" s="4">
        <v>7452</v>
      </c>
      <c r="H119" s="5">
        <f>Table3[[#This Row],[MATCHES]]*Table3[[#This Row],[WIN RATE]]</f>
        <v>35418.061199999996</v>
      </c>
      <c r="I119" s="5">
        <f>Table3[[#This Row],[MATCHES]]-Table3[[#This Row],[Number of wins]]</f>
        <v>43183.938800000004</v>
      </c>
      <c r="J119" s="4" t="str">
        <f>VLOOKUP(Table3[[#This Row],[GOD]],' Raw Data for God Type'!A:I,2)</f>
        <v>Chinese</v>
      </c>
      <c r="K119" s="4" t="str">
        <f>VLOOKUP(Table3[[#This Row],[GOD]],' Raw Data for God Type'!A:I,5)</f>
        <v>Mage</v>
      </c>
      <c r="L119" s="4" t="str">
        <f>VLOOKUP(Table3[[#This Row],[GOD]],' Raw Data for God Type'!A:I,6)</f>
        <v>Average</v>
      </c>
      <c r="M119" s="4" t="str">
        <f>VLOOKUP(Table3[[#This Row],[GOD]],' Raw Data for God Type'!A:I,3)</f>
        <v>Ranged</v>
      </c>
      <c r="N119" s="4" t="str">
        <f>VLOOKUP(Table3[[#This Row],[GOD]],' Raw Data for God Type'!A:I,4)</f>
        <v>Magical</v>
      </c>
    </row>
    <row r="120" spans="1:14" x14ac:dyDescent="0.25">
      <c r="A120" s="4" t="s">
        <v>44</v>
      </c>
      <c r="B120" s="4">
        <v>0.53310000000000002</v>
      </c>
      <c r="C120" s="4">
        <v>9614</v>
      </c>
      <c r="D120" s="4">
        <v>1.54</v>
      </c>
      <c r="E120" s="4">
        <v>21388</v>
      </c>
      <c r="F120" s="4">
        <v>75</v>
      </c>
      <c r="G120" s="4">
        <v>6763</v>
      </c>
      <c r="H120" s="5">
        <f>Table3[[#This Row],[MATCHES]]*Table3[[#This Row],[WIN RATE]]</f>
        <v>5125.2233999999999</v>
      </c>
      <c r="I120" s="5">
        <f>Table3[[#This Row],[MATCHES]]-Table3[[#This Row],[Number of wins]]</f>
        <v>4488.7766000000001</v>
      </c>
      <c r="J120" s="4" t="str">
        <f>VLOOKUP(Table3[[#This Row],[GOD]],' Raw Data for God Type'!A:I,2)</f>
        <v>Greek</v>
      </c>
      <c r="K120" s="4" t="str">
        <f>VLOOKUP(Table3[[#This Row],[GOD]],' Raw Data for God Type'!A:I,5)</f>
        <v>Mage</v>
      </c>
      <c r="L120" s="4" t="str">
        <f>VLOOKUP(Table3[[#This Row],[GOD]],' Raw Data for God Type'!A:I,6)</f>
        <v>Average</v>
      </c>
      <c r="M120" s="4" t="str">
        <f>VLOOKUP(Table3[[#This Row],[GOD]],' Raw Data for God Type'!A:I,3)</f>
        <v>Ranged</v>
      </c>
      <c r="N120" s="4" t="str">
        <f>VLOOKUP(Table3[[#This Row],[GOD]],' Raw Data for God Type'!A:I,4)</f>
        <v>Magical</v>
      </c>
    </row>
    <row r="121" spans="1:14" x14ac:dyDescent="0.25">
      <c r="A121" s="4" t="s">
        <v>140</v>
      </c>
      <c r="B121" s="4">
        <v>0.50229999999999997</v>
      </c>
      <c r="C121" s="4">
        <v>5839</v>
      </c>
      <c r="D121" s="4">
        <v>1.61</v>
      </c>
      <c r="E121" s="4">
        <v>19287</v>
      </c>
      <c r="F121" s="4">
        <v>109</v>
      </c>
      <c r="G121" s="4">
        <v>19582</v>
      </c>
      <c r="H121" s="5">
        <f>Table3[[#This Row],[MATCHES]]*Table3[[#This Row],[WIN RATE]]</f>
        <v>2932.9296999999997</v>
      </c>
      <c r="I121" s="5">
        <f>Table3[[#This Row],[MATCHES]]-Table3[[#This Row],[Number of wins]]</f>
        <v>2906.0703000000003</v>
      </c>
      <c r="J121" s="4" t="str">
        <f>VLOOKUP(Table3[[#This Row],[GOD]],' Raw Data for God Type'!A:I,2)</f>
        <v>Chinese</v>
      </c>
      <c r="K121" s="4" t="str">
        <f>VLOOKUP(Table3[[#This Row],[GOD]],' Raw Data for God Type'!A:I,5)</f>
        <v>Mage</v>
      </c>
      <c r="L121" s="4" t="str">
        <f>VLOOKUP(Table3[[#This Row],[GOD]],' Raw Data for God Type'!A:I,6)</f>
        <v>Easy</v>
      </c>
      <c r="M121" s="4" t="str">
        <f>VLOOKUP(Table3[[#This Row],[GOD]],' Raw Data for God Type'!A:I,3)</f>
        <v>Ranged</v>
      </c>
      <c r="N121" s="4" t="str">
        <f>VLOOKUP(Table3[[#This Row],[GOD]],' Raw Data for God Type'!A:I,4)</f>
        <v>Magical</v>
      </c>
    </row>
  </sheetData>
  <pageMargins left="0.7" right="0.7" top="0.75" bottom="0.75" header="0.3" footer="0.3"/>
  <pageSetup orientation="portrait" horizontalDpi="0"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BD5A2-B8FD-415C-B0C4-0BF66BE6EA21}">
  <sheetPr codeName="Sheet5"/>
  <dimension ref="A1:V124"/>
  <sheetViews>
    <sheetView topLeftCell="D1" workbookViewId="0">
      <selection activeCell="V2" sqref="V2"/>
    </sheetView>
  </sheetViews>
  <sheetFormatPr defaultRowHeight="15" x14ac:dyDescent="0.25"/>
  <cols>
    <col min="1" max="1" width="16.5703125" bestFit="1" customWidth="1"/>
    <col min="2" max="2" width="12.140625" bestFit="1" customWidth="1"/>
    <col min="3" max="3" width="11.85546875" bestFit="1" customWidth="1"/>
    <col min="4" max="4" width="7" bestFit="1" customWidth="1"/>
    <col min="5" max="5" width="11.42578125" bestFit="1" customWidth="1"/>
    <col min="6" max="6" width="11.140625" bestFit="1" customWidth="1"/>
    <col min="7" max="7" width="13.28515625" bestFit="1" customWidth="1"/>
    <col min="8" max="8" width="17.5703125" bestFit="1" customWidth="1"/>
    <col min="9" max="9" width="19.140625" bestFit="1" customWidth="1"/>
    <col min="10" max="10" width="14.5703125" bestFit="1" customWidth="1"/>
    <col min="11" max="11" width="9" bestFit="1" customWidth="1"/>
    <col min="12" max="12" width="11.42578125" bestFit="1" customWidth="1"/>
    <col min="13" max="13" width="13.5703125" bestFit="1" customWidth="1"/>
    <col min="14" max="14" width="13.7109375" bestFit="1" customWidth="1"/>
    <col min="15" max="15" width="25.5703125" style="7" bestFit="1" customWidth="1"/>
    <col min="16" max="16" width="25.5703125" customWidth="1"/>
    <col min="17" max="17" width="25.5703125" bestFit="1" customWidth="1"/>
    <col min="18" max="18" width="12.140625" customWidth="1"/>
  </cols>
  <sheetData>
    <row r="1" spans="1:22" x14ac:dyDescent="0.25">
      <c r="A1" s="4" t="s">
        <v>0</v>
      </c>
      <c r="B1" s="4" t="s">
        <v>1</v>
      </c>
      <c r="C1" s="4" t="s">
        <v>2</v>
      </c>
      <c r="D1" s="4" t="s">
        <v>3</v>
      </c>
      <c r="E1" s="4" t="s">
        <v>4</v>
      </c>
      <c r="F1" s="4" t="s">
        <v>5</v>
      </c>
      <c r="G1" s="4" t="s">
        <v>6</v>
      </c>
      <c r="H1" s="5" t="s">
        <v>248</v>
      </c>
      <c r="I1" s="4" t="s">
        <v>249</v>
      </c>
      <c r="J1" s="4" t="s">
        <v>251</v>
      </c>
      <c r="K1" s="4" t="s">
        <v>254</v>
      </c>
      <c r="L1" s="4" t="s">
        <v>255</v>
      </c>
      <c r="M1" s="4" t="s">
        <v>252</v>
      </c>
      <c r="N1" s="4" t="s">
        <v>253</v>
      </c>
      <c r="O1" s="11" t="s">
        <v>419</v>
      </c>
      <c r="Q1" t="s">
        <v>415</v>
      </c>
      <c r="R1" t="s">
        <v>412</v>
      </c>
      <c r="S1" t="s">
        <v>410</v>
      </c>
      <c r="T1" t="s">
        <v>411</v>
      </c>
      <c r="U1" t="s">
        <v>414</v>
      </c>
      <c r="V1" t="s">
        <v>413</v>
      </c>
    </row>
    <row r="2" spans="1:22" x14ac:dyDescent="0.25">
      <c r="A2" s="4" t="s">
        <v>221</v>
      </c>
      <c r="B2" s="4">
        <v>0.46760000000000002</v>
      </c>
      <c r="C2" s="4">
        <v>9303</v>
      </c>
      <c r="D2" s="4">
        <v>1.85</v>
      </c>
      <c r="E2" s="4">
        <v>15377</v>
      </c>
      <c r="F2" s="4">
        <v>84</v>
      </c>
      <c r="G2" s="4">
        <v>30734</v>
      </c>
      <c r="H2" s="5">
        <f>Table37[[#This Row],[MATCHES]]*Table37[[#This Row],[WIN RATE]]</f>
        <v>4350.0828000000001</v>
      </c>
      <c r="I2" s="5">
        <f>Table37[[#This Row],[MATCHES]]-Table37[[#This Row],[Number of wins]]</f>
        <v>4952.9171999999999</v>
      </c>
      <c r="J2" s="4" t="str">
        <f>VLOOKUP(Table37[[#This Row],[GOD]],' Raw Data for God Type'!A:I,2)</f>
        <v>Greek</v>
      </c>
      <c r="K2" s="4" t="str">
        <f>VLOOKUP(Table37[[#This Row],[GOD]],' Raw Data for God Type'!A:I,5)</f>
        <v>Warrior</v>
      </c>
      <c r="L2" s="4" t="str">
        <f>VLOOKUP(Table37[[#This Row],[GOD]],' Raw Data for God Type'!A:I,6)</f>
        <v>Average</v>
      </c>
      <c r="M2" s="4" t="str">
        <f>VLOOKUP(Table37[[#This Row],[GOD]],' Raw Data for God Type'!A:I,3)</f>
        <v>Melee</v>
      </c>
      <c r="N2" s="4" t="str">
        <f>VLOOKUP(Table37[[#This Row],[GOD]],' Raw Data for God Type'!A:I,4)</f>
        <v>Physical</v>
      </c>
      <c r="O2" s="11">
        <f>VLOOKUP(Table37[[#This Row],[GOD]],' Raw Data for God Type'!$A$2:$I$121,9)</f>
        <v>43158</v>
      </c>
      <c r="Q2">
        <v>0</v>
      </c>
      <c r="R2">
        <f>IF($K2=$R$1,1,0)</f>
        <v>0</v>
      </c>
      <c r="S2">
        <f>IF($K2=$S$1,1,0)</f>
        <v>1</v>
      </c>
      <c r="T2">
        <f>IF($K2=$T$1,1,0)</f>
        <v>0</v>
      </c>
      <c r="U2">
        <f>IF($K2=$U$1,1,0)</f>
        <v>0</v>
      </c>
      <c r="V2">
        <f>IF($K2=$V$1,1,0)</f>
        <v>0</v>
      </c>
    </row>
    <row r="3" spans="1:22" x14ac:dyDescent="0.25">
      <c r="A3" s="4" t="s">
        <v>50</v>
      </c>
      <c r="B3" s="4">
        <v>0.53039999999999998</v>
      </c>
      <c r="C3" s="4">
        <v>5850</v>
      </c>
      <c r="D3" s="4">
        <v>1.64</v>
      </c>
      <c r="E3" s="4">
        <v>19601</v>
      </c>
      <c r="F3" s="4">
        <v>153</v>
      </c>
      <c r="G3" s="4">
        <v>6508</v>
      </c>
      <c r="H3" s="5">
        <f>Table37[[#This Row],[MATCHES]]*Table37[[#This Row],[WIN RATE]]</f>
        <v>3102.8399999999997</v>
      </c>
      <c r="I3" s="5">
        <f>Table37[[#This Row],[MATCHES]]-Table37[[#This Row],[Number of wins]]</f>
        <v>2747.1600000000003</v>
      </c>
      <c r="J3" s="4" t="str">
        <f>VLOOKUP(Table37[[#This Row],[GOD]],' Raw Data for God Type'!A:I,2)</f>
        <v>Hindu</v>
      </c>
      <c r="K3" s="4" t="str">
        <f>VLOOKUP(Table37[[#This Row],[GOD]],' Raw Data for God Type'!A:I,5)</f>
        <v>Mage</v>
      </c>
      <c r="L3" s="4" t="str">
        <f>VLOOKUP(Table37[[#This Row],[GOD]],' Raw Data for God Type'!A:I,6)</f>
        <v>Hard</v>
      </c>
      <c r="M3" s="4" t="str">
        <f>VLOOKUP(Table37[[#This Row],[GOD]],' Raw Data for God Type'!A:I,3)</f>
        <v>Ranged</v>
      </c>
      <c r="N3" s="4" t="str">
        <f>VLOOKUP(Table37[[#This Row],[GOD]],' Raw Data for God Type'!A:I,4)</f>
        <v>Magical</v>
      </c>
      <c r="O3" s="11">
        <f>VLOOKUP(Table37[[#This Row],[GOD]],' Raw Data for God Type'!$A$2:$I$121,9)</f>
        <v>41060</v>
      </c>
      <c r="Q3">
        <v>0</v>
      </c>
      <c r="R3">
        <f t="shared" ref="R3:R66" si="0">IF($K3=$R$1,1,0)</f>
        <v>0</v>
      </c>
      <c r="S3">
        <f t="shared" ref="S3:S66" si="1">IF($K3=$S$1,1,0)</f>
        <v>0</v>
      </c>
      <c r="T3">
        <f t="shared" ref="T3:T66" si="2">IF($K3=$T$1,1,0)</f>
        <v>1</v>
      </c>
      <c r="U3">
        <f t="shared" ref="U3:U66" si="3">IF($K3=$U$1,1,0)</f>
        <v>0</v>
      </c>
      <c r="V3">
        <f t="shared" ref="V3:V66" si="4">IF($K3=$V$1,1,0)</f>
        <v>0</v>
      </c>
    </row>
    <row r="4" spans="1:22" x14ac:dyDescent="0.25">
      <c r="A4" s="4" t="s">
        <v>100</v>
      </c>
      <c r="B4" s="4">
        <v>0.51049999999999995</v>
      </c>
      <c r="C4" s="4">
        <v>8560</v>
      </c>
      <c r="D4" s="4">
        <v>1.55</v>
      </c>
      <c r="E4" s="4">
        <v>18703</v>
      </c>
      <c r="F4" s="4">
        <v>31</v>
      </c>
      <c r="G4" s="4">
        <v>8465</v>
      </c>
      <c r="H4" s="5">
        <f>Table37[[#This Row],[MATCHES]]*Table37[[#This Row],[WIN RATE]]</f>
        <v>4369.8799999999992</v>
      </c>
      <c r="I4" s="5">
        <f>Table37[[#This Row],[MATCHES]]-Table37[[#This Row],[Number of wins]]</f>
        <v>4190.1200000000008</v>
      </c>
      <c r="J4" s="4" t="str">
        <f>VLOOKUP(Table37[[#This Row],[GOD]],' Raw Data for God Type'!A:I,2)</f>
        <v>Maya</v>
      </c>
      <c r="K4" s="4" t="str">
        <f>VLOOKUP(Table37[[#This Row],[GOD]],' Raw Data for God Type'!A:I,5)</f>
        <v>Hunter</v>
      </c>
      <c r="L4" s="4" t="str">
        <f>VLOOKUP(Table37[[#This Row],[GOD]],' Raw Data for God Type'!A:I,6)</f>
        <v>Average</v>
      </c>
      <c r="M4" s="4" t="str">
        <f>VLOOKUP(Table37[[#This Row],[GOD]],' Raw Data for God Type'!A:I,3)</f>
        <v>Ranged</v>
      </c>
      <c r="N4" s="4" t="str">
        <f>VLOOKUP(Table37[[#This Row],[GOD]],' Raw Data for God Type'!A:I,4)</f>
        <v>Physical</v>
      </c>
      <c r="O4" s="11">
        <f>VLOOKUP(Table37[[#This Row],[GOD]],' Raw Data for God Type'!$A$2:$I$121,9)</f>
        <v>41585</v>
      </c>
      <c r="Q4">
        <v>0</v>
      </c>
      <c r="R4">
        <f t="shared" si="0"/>
        <v>1</v>
      </c>
      <c r="S4">
        <f t="shared" si="1"/>
        <v>0</v>
      </c>
      <c r="T4">
        <f t="shared" si="2"/>
        <v>0</v>
      </c>
      <c r="U4">
        <f t="shared" si="3"/>
        <v>0</v>
      </c>
      <c r="V4">
        <f t="shared" si="4"/>
        <v>0</v>
      </c>
    </row>
    <row r="5" spans="1:22" x14ac:dyDescent="0.25">
      <c r="A5" s="4" t="s">
        <v>62</v>
      </c>
      <c r="B5" s="4">
        <v>0.52629999999999999</v>
      </c>
      <c r="C5" s="4">
        <v>4138</v>
      </c>
      <c r="D5" s="4">
        <v>1.65</v>
      </c>
      <c r="E5" s="4">
        <v>20598</v>
      </c>
      <c r="F5" s="4">
        <v>139</v>
      </c>
      <c r="G5" s="4">
        <v>9937</v>
      </c>
      <c r="H5" s="5">
        <f>Table37[[#This Row],[MATCHES]]*Table37[[#This Row],[WIN RATE]]</f>
        <v>2177.8294000000001</v>
      </c>
      <c r="I5" s="5">
        <f>Table37[[#This Row],[MATCHES]]-Table37[[#This Row],[Number of wins]]</f>
        <v>1960.1705999999999</v>
      </c>
      <c r="J5" s="4" t="str">
        <f>VLOOKUP(Table37[[#This Row],[GOD]],' Raw Data for God Type'!A:I,2)</f>
        <v>Maya</v>
      </c>
      <c r="K5" s="4" t="str">
        <f>VLOOKUP(Table37[[#This Row],[GOD]],' Raw Data for God Type'!A:I,5)</f>
        <v>Mage</v>
      </c>
      <c r="L5" s="4" t="str">
        <f>VLOOKUP(Table37[[#This Row],[GOD]],' Raw Data for God Type'!A:I,6)</f>
        <v>Average</v>
      </c>
      <c r="M5" s="4" t="str">
        <f>VLOOKUP(Table37[[#This Row],[GOD]],' Raw Data for God Type'!A:I,3)</f>
        <v>Ranged</v>
      </c>
      <c r="N5" s="4" t="str">
        <f>VLOOKUP(Table37[[#This Row],[GOD]],' Raw Data for God Type'!A:I,4)</f>
        <v>Magical</v>
      </c>
      <c r="O5" s="11">
        <f>VLOOKUP(Table37[[#This Row],[GOD]],' Raw Data for God Type'!$A$2:$I$121,9)</f>
        <v>42122</v>
      </c>
      <c r="Q5">
        <v>0</v>
      </c>
      <c r="R5">
        <f t="shared" si="0"/>
        <v>0</v>
      </c>
      <c r="S5">
        <f t="shared" si="1"/>
        <v>0</v>
      </c>
      <c r="T5">
        <f t="shared" si="2"/>
        <v>1</v>
      </c>
      <c r="U5">
        <f t="shared" si="3"/>
        <v>0</v>
      </c>
      <c r="V5">
        <f t="shared" si="4"/>
        <v>0</v>
      </c>
    </row>
    <row r="6" spans="1:22" x14ac:dyDescent="0.25">
      <c r="A6" s="4" t="s">
        <v>40</v>
      </c>
      <c r="B6" s="4">
        <v>0.53449999999999998</v>
      </c>
      <c r="C6" s="4">
        <v>7309</v>
      </c>
      <c r="D6" s="4">
        <v>1.93</v>
      </c>
      <c r="E6" s="4">
        <v>14947</v>
      </c>
      <c r="F6" s="4">
        <v>149</v>
      </c>
      <c r="G6" s="4">
        <v>30748</v>
      </c>
      <c r="H6" s="5">
        <f>Table37[[#This Row],[MATCHES]]*Table37[[#This Row],[WIN RATE]]</f>
        <v>3906.6605</v>
      </c>
      <c r="I6" s="5">
        <f>Table37[[#This Row],[MATCHES]]-Table37[[#This Row],[Number of wins]]</f>
        <v>3402.3395</v>
      </c>
      <c r="J6" s="4" t="str">
        <f>VLOOKUP(Table37[[#This Row],[GOD]],' Raw Data for God Type'!A:I,2)</f>
        <v>Japanese</v>
      </c>
      <c r="K6" s="4" t="str">
        <f>VLOOKUP(Table37[[#This Row],[GOD]],' Raw Data for God Type'!A:I,5)</f>
        <v>Warrior</v>
      </c>
      <c r="L6" s="4" t="str">
        <f>VLOOKUP(Table37[[#This Row],[GOD]],' Raw Data for God Type'!A:I,6)</f>
        <v>Average</v>
      </c>
      <c r="M6" s="4" t="str">
        <f>VLOOKUP(Table37[[#This Row],[GOD]],' Raw Data for God Type'!A:I,3)</f>
        <v>Melee</v>
      </c>
      <c r="N6" s="4" t="str">
        <f>VLOOKUP(Table37[[#This Row],[GOD]],' Raw Data for God Type'!A:I,4)</f>
        <v>Physical</v>
      </c>
      <c r="O6" s="11">
        <f>VLOOKUP(Table37[[#This Row],[GOD]],' Raw Data for God Type'!$A$2:$I$121,9)</f>
        <v>42381</v>
      </c>
      <c r="Q6">
        <v>0</v>
      </c>
      <c r="R6">
        <f t="shared" si="0"/>
        <v>0</v>
      </c>
      <c r="S6">
        <f t="shared" si="1"/>
        <v>1</v>
      </c>
      <c r="T6">
        <f t="shared" si="2"/>
        <v>0</v>
      </c>
      <c r="U6">
        <f t="shared" si="3"/>
        <v>0</v>
      </c>
      <c r="V6">
        <f t="shared" si="4"/>
        <v>0</v>
      </c>
    </row>
    <row r="7" spans="1:22" x14ac:dyDescent="0.25">
      <c r="A7" s="4" t="s">
        <v>227</v>
      </c>
      <c r="B7" s="4">
        <v>0.46179999999999999</v>
      </c>
      <c r="C7" s="4">
        <v>7244</v>
      </c>
      <c r="D7" s="4">
        <v>1.48</v>
      </c>
      <c r="E7" s="4">
        <v>15507</v>
      </c>
      <c r="F7" s="4">
        <v>32</v>
      </c>
      <c r="G7" s="4">
        <v>8100</v>
      </c>
      <c r="H7" s="5">
        <f>Table37[[#This Row],[MATCHES]]*Table37[[#This Row],[WIN RATE]]</f>
        <v>3345.2791999999999</v>
      </c>
      <c r="I7" s="5">
        <f>Table37[[#This Row],[MATCHES]]-Table37[[#This Row],[Number of wins]]</f>
        <v>3898.7208000000001</v>
      </c>
      <c r="J7" s="4" t="str">
        <f>VLOOKUP(Table37[[#This Row],[GOD]],' Raw Data for God Type'!A:I,2)</f>
        <v>Egyptian</v>
      </c>
      <c r="K7" s="4" t="str">
        <f>VLOOKUP(Table37[[#This Row],[GOD]],' Raw Data for God Type'!A:I,5)</f>
        <v>Hunter</v>
      </c>
      <c r="L7" s="4" t="str">
        <f>VLOOKUP(Table37[[#This Row],[GOD]],' Raw Data for God Type'!A:I,6)</f>
        <v>Average</v>
      </c>
      <c r="M7" s="4" t="str">
        <f>VLOOKUP(Table37[[#This Row],[GOD]],' Raw Data for God Type'!A:I,3)</f>
        <v>Ranged</v>
      </c>
      <c r="N7" s="4" t="str">
        <f>VLOOKUP(Table37[[#This Row],[GOD]],' Raw Data for God Type'!A:I,4)</f>
        <v>Physical</v>
      </c>
      <c r="O7" s="11">
        <f>VLOOKUP(Table37[[#This Row],[GOD]],' Raw Data for God Type'!$A$2:$I$121,9)</f>
        <v>41124</v>
      </c>
      <c r="Q7">
        <v>0</v>
      </c>
      <c r="R7">
        <f t="shared" si="0"/>
        <v>1</v>
      </c>
      <c r="S7">
        <f t="shared" si="1"/>
        <v>0</v>
      </c>
      <c r="T7">
        <f t="shared" si="2"/>
        <v>0</v>
      </c>
      <c r="U7">
        <f t="shared" si="3"/>
        <v>0</v>
      </c>
      <c r="V7">
        <f t="shared" si="4"/>
        <v>0</v>
      </c>
    </row>
    <row r="8" spans="1:22" x14ac:dyDescent="0.25">
      <c r="A8" s="4" t="s">
        <v>60</v>
      </c>
      <c r="B8" s="4">
        <v>0.52690000000000003</v>
      </c>
      <c r="C8" s="4">
        <v>10571</v>
      </c>
      <c r="D8" s="4">
        <v>1.56</v>
      </c>
      <c r="E8" s="4">
        <v>18020</v>
      </c>
      <c r="F8" s="4">
        <v>84</v>
      </c>
      <c r="G8" s="4">
        <v>10563</v>
      </c>
      <c r="H8" s="5">
        <f>Table37[[#This Row],[MATCHES]]*Table37[[#This Row],[WIN RATE]]</f>
        <v>5569.8599000000004</v>
      </c>
      <c r="I8" s="5">
        <f>Table37[[#This Row],[MATCHES]]-Table37[[#This Row],[Number of wins]]</f>
        <v>5001.1400999999996</v>
      </c>
      <c r="J8" s="4" t="str">
        <f>VLOOKUP(Table37[[#This Row],[GOD]],' Raw Data for God Type'!A:I,2)</f>
        <v>Egyptian</v>
      </c>
      <c r="K8" s="4" t="str">
        <f>VLOOKUP(Table37[[#This Row],[GOD]],' Raw Data for God Type'!A:I,5)</f>
        <v>Mage</v>
      </c>
      <c r="L8" s="4" t="str">
        <f>VLOOKUP(Table37[[#This Row],[GOD]],' Raw Data for God Type'!A:I,6)</f>
        <v>Easy</v>
      </c>
      <c r="M8" s="4" t="str">
        <f>VLOOKUP(Table37[[#This Row],[GOD]],' Raw Data for God Type'!A:I,3)</f>
        <v>Ranged</v>
      </c>
      <c r="N8" s="4" t="str">
        <f>VLOOKUP(Table37[[#This Row],[GOD]],' Raw Data for God Type'!A:I,4)</f>
        <v>Magical</v>
      </c>
      <c r="O8" s="11">
        <f>VLOOKUP(Table37[[#This Row],[GOD]],' Raw Data for God Type'!$A$2:$I$121,9)</f>
        <v>41060</v>
      </c>
      <c r="Q8">
        <v>0</v>
      </c>
      <c r="R8">
        <f t="shared" si="0"/>
        <v>0</v>
      </c>
      <c r="S8">
        <f t="shared" si="1"/>
        <v>0</v>
      </c>
      <c r="T8">
        <f t="shared" si="2"/>
        <v>1</v>
      </c>
      <c r="U8">
        <f t="shared" si="3"/>
        <v>0</v>
      </c>
      <c r="V8">
        <f t="shared" si="4"/>
        <v>0</v>
      </c>
    </row>
    <row r="9" spans="1:22" x14ac:dyDescent="0.25">
      <c r="A9" s="4" t="s">
        <v>167</v>
      </c>
      <c r="B9" s="4">
        <v>0.4945</v>
      </c>
      <c r="C9" s="4">
        <v>9007</v>
      </c>
      <c r="D9" s="4">
        <v>1.93</v>
      </c>
      <c r="E9" s="4">
        <v>16255</v>
      </c>
      <c r="F9" s="4">
        <v>44</v>
      </c>
      <c r="G9" s="4">
        <v>13221</v>
      </c>
      <c r="H9" s="5">
        <f>Table37[[#This Row],[MATCHES]]*Table37[[#This Row],[WIN RATE]]</f>
        <v>4453.9615000000003</v>
      </c>
      <c r="I9" s="5">
        <f>Table37[[#This Row],[MATCHES]]-Table37[[#This Row],[Number of wins]]</f>
        <v>4553.0384999999997</v>
      </c>
      <c r="J9" s="4" t="str">
        <f>VLOOKUP(Table37[[#This Row],[GOD]],' Raw Data for God Type'!A:I,2)</f>
        <v>Chinese</v>
      </c>
      <c r="K9" s="4" t="str">
        <f>VLOOKUP(Table37[[#This Row],[GOD]],' Raw Data for God Type'!A:I,5)</f>
        <v>Mage</v>
      </c>
      <c r="L9" s="4" t="str">
        <f>VLOOKUP(Table37[[#This Row],[GOD]],' Raw Data for God Type'!A:I,6)</f>
        <v>Hard</v>
      </c>
      <c r="M9" s="4" t="str">
        <f>VLOOKUP(Table37[[#This Row],[GOD]],' Raw Data for God Type'!A:I,3)</f>
        <v>Melee</v>
      </c>
      <c r="N9" s="4" t="str">
        <f>VLOOKUP(Table37[[#This Row],[GOD]],' Raw Data for God Type'!A:I,4)</f>
        <v>Magical</v>
      </c>
      <c r="O9" s="11">
        <f>VLOOKUP(Table37[[#This Row],[GOD]],' Raw Data for God Type'!$A$2:$I$121,9)</f>
        <v>41962</v>
      </c>
      <c r="Q9">
        <v>0</v>
      </c>
      <c r="R9">
        <f t="shared" si="0"/>
        <v>0</v>
      </c>
      <c r="S9">
        <f t="shared" si="1"/>
        <v>0</v>
      </c>
      <c r="T9">
        <f t="shared" si="2"/>
        <v>1</v>
      </c>
      <c r="U9">
        <f t="shared" si="3"/>
        <v>0</v>
      </c>
      <c r="V9">
        <f t="shared" si="4"/>
        <v>0</v>
      </c>
    </row>
    <row r="10" spans="1:22" x14ac:dyDescent="0.25">
      <c r="A10" s="4" t="s">
        <v>149</v>
      </c>
      <c r="B10" s="4">
        <v>0.49940000000000001</v>
      </c>
      <c r="C10" s="4">
        <v>6476</v>
      </c>
      <c r="D10" s="4">
        <v>1.5</v>
      </c>
      <c r="E10" s="4">
        <v>11612</v>
      </c>
      <c r="F10" s="4">
        <v>6126</v>
      </c>
      <c r="G10" s="4">
        <v>15132</v>
      </c>
      <c r="H10" s="5">
        <f>Table37[[#This Row],[MATCHES]]*Table37[[#This Row],[WIN RATE]]</f>
        <v>3234.1143999999999</v>
      </c>
      <c r="I10" s="5">
        <f>Table37[[#This Row],[MATCHES]]-Table37[[#This Row],[Number of wins]]</f>
        <v>3241.8856000000001</v>
      </c>
      <c r="J10" s="4" t="str">
        <f>VLOOKUP(Table37[[#This Row],[GOD]],' Raw Data for God Type'!A:I,2)</f>
        <v>Greek</v>
      </c>
      <c r="K10" s="4" t="str">
        <f>VLOOKUP(Table37[[#This Row],[GOD]],' Raw Data for God Type'!A:I,5)</f>
        <v>Mage</v>
      </c>
      <c r="L10" s="4" t="str">
        <f>VLOOKUP(Table37[[#This Row],[GOD]],' Raw Data for God Type'!A:I,6)</f>
        <v>Hard</v>
      </c>
      <c r="M10" s="4" t="str">
        <f>VLOOKUP(Table37[[#This Row],[GOD]],' Raw Data for God Type'!A:I,3)</f>
        <v>Ranged</v>
      </c>
      <c r="N10" s="4" t="str">
        <f>VLOOKUP(Table37[[#This Row],[GOD]],' Raw Data for God Type'!A:I,4)</f>
        <v>Magical</v>
      </c>
      <c r="O10" s="11">
        <f>VLOOKUP(Table37[[#This Row],[GOD]],' Raw Data for God Type'!$A$2:$I$121,9)</f>
        <v>41346</v>
      </c>
      <c r="Q10">
        <v>0</v>
      </c>
      <c r="R10">
        <f t="shared" si="0"/>
        <v>0</v>
      </c>
      <c r="S10">
        <f t="shared" si="1"/>
        <v>0</v>
      </c>
      <c r="T10">
        <f t="shared" si="2"/>
        <v>1</v>
      </c>
      <c r="U10">
        <f t="shared" si="3"/>
        <v>0</v>
      </c>
      <c r="V10">
        <f t="shared" si="4"/>
        <v>0</v>
      </c>
    </row>
    <row r="11" spans="1:22" x14ac:dyDescent="0.25">
      <c r="A11" s="4" t="s">
        <v>102</v>
      </c>
      <c r="B11" s="4">
        <v>0.51019999999999999</v>
      </c>
      <c r="C11" s="4">
        <v>11716</v>
      </c>
      <c r="D11" s="4">
        <v>1.66</v>
      </c>
      <c r="E11" s="4">
        <v>16399</v>
      </c>
      <c r="F11" s="4">
        <v>23</v>
      </c>
      <c r="G11" s="4">
        <v>8786</v>
      </c>
      <c r="H11" s="5">
        <f>Table37[[#This Row],[MATCHES]]*Table37[[#This Row],[WIN RATE]]</f>
        <v>5977.5032000000001</v>
      </c>
      <c r="I11" s="5">
        <f>Table37[[#This Row],[MATCHES]]-Table37[[#This Row],[Number of wins]]</f>
        <v>5738.4967999999999</v>
      </c>
      <c r="J11" s="4" t="str">
        <f>VLOOKUP(Table37[[#This Row],[GOD]],' Raw Data for God Type'!A:I,2)</f>
        <v>Greek</v>
      </c>
      <c r="K11" s="4" t="str">
        <f>VLOOKUP(Table37[[#This Row],[GOD]],' Raw Data for God Type'!A:I,5)</f>
        <v>Hunter</v>
      </c>
      <c r="L11" s="4" t="str">
        <f>VLOOKUP(Table37[[#This Row],[GOD]],' Raw Data for God Type'!A:I,6)</f>
        <v>Easy</v>
      </c>
      <c r="M11" s="4" t="str">
        <f>VLOOKUP(Table37[[#This Row],[GOD]],' Raw Data for God Type'!A:I,3)</f>
        <v>Ranged</v>
      </c>
      <c r="N11" s="4" t="str">
        <f>VLOOKUP(Table37[[#This Row],[GOD]],' Raw Data for God Type'!A:I,4)</f>
        <v>Physical</v>
      </c>
      <c r="O11" s="11">
        <f>VLOOKUP(Table37[[#This Row],[GOD]],' Raw Data for God Type'!$A$2:$I$121,9)</f>
        <v>41361</v>
      </c>
      <c r="Q11">
        <v>0</v>
      </c>
      <c r="R11">
        <f t="shared" si="0"/>
        <v>1</v>
      </c>
      <c r="S11">
        <f t="shared" si="1"/>
        <v>0</v>
      </c>
      <c r="T11">
        <f t="shared" si="2"/>
        <v>0</v>
      </c>
      <c r="U11">
        <f t="shared" si="3"/>
        <v>0</v>
      </c>
      <c r="V11">
        <f t="shared" si="4"/>
        <v>0</v>
      </c>
    </row>
    <row r="12" spans="1:22" x14ac:dyDescent="0.25">
      <c r="A12" s="4" t="s">
        <v>8</v>
      </c>
      <c r="B12" s="4">
        <v>0.56599999999999995</v>
      </c>
      <c r="C12" s="4">
        <v>14234</v>
      </c>
      <c r="D12" s="4">
        <v>2.15</v>
      </c>
      <c r="E12" s="4">
        <v>17094</v>
      </c>
      <c r="F12" s="4">
        <v>33</v>
      </c>
      <c r="G12" s="4">
        <v>13393</v>
      </c>
      <c r="H12" s="5">
        <f>Table37[[#This Row],[MATCHES]]*Table37[[#This Row],[WIN RATE]]</f>
        <v>8056.4439999999995</v>
      </c>
      <c r="I12" s="5">
        <f>Table37[[#This Row],[MATCHES]]-Table37[[#This Row],[Number of wins]]</f>
        <v>6177.5560000000005</v>
      </c>
      <c r="J12" s="4" t="str">
        <f>VLOOKUP(Table37[[#This Row],[GOD]],' Raw Data for God Type'!A:I,2)</f>
        <v>Greek</v>
      </c>
      <c r="K12" s="4" t="str">
        <f>VLOOKUP(Table37[[#This Row],[GOD]],' Raw Data for God Type'!A:I,5)</f>
        <v>Assassin</v>
      </c>
      <c r="L12" s="4" t="str">
        <f>VLOOKUP(Table37[[#This Row],[GOD]],' Raw Data for God Type'!A:I,6)</f>
        <v>Average</v>
      </c>
      <c r="M12" s="4" t="str">
        <f>VLOOKUP(Table37[[#This Row],[GOD]],' Raw Data for God Type'!A:I,3)</f>
        <v>Melee</v>
      </c>
      <c r="N12" s="4" t="str">
        <f>VLOOKUP(Table37[[#This Row],[GOD]],' Raw Data for God Type'!A:I,4)</f>
        <v>Physical</v>
      </c>
      <c r="O12" s="11">
        <f>VLOOKUP(Table37[[#This Row],[GOD]],' Raw Data for God Type'!$A$2:$I$121,9)</f>
        <v>41060</v>
      </c>
      <c r="Q12">
        <v>1</v>
      </c>
      <c r="R12">
        <f t="shared" si="0"/>
        <v>0</v>
      </c>
      <c r="S12">
        <f t="shared" si="1"/>
        <v>0</v>
      </c>
      <c r="T12">
        <f t="shared" si="2"/>
        <v>0</v>
      </c>
      <c r="U12">
        <f t="shared" si="3"/>
        <v>0</v>
      </c>
      <c r="V12">
        <f t="shared" si="4"/>
        <v>1</v>
      </c>
    </row>
    <row r="13" spans="1:22" x14ac:dyDescent="0.25">
      <c r="A13" s="4" t="s">
        <v>80</v>
      </c>
      <c r="B13" s="4">
        <v>0.51570000000000005</v>
      </c>
      <c r="C13" s="4">
        <v>12009</v>
      </c>
      <c r="D13" s="4">
        <v>1.71</v>
      </c>
      <c r="E13" s="4">
        <v>12066</v>
      </c>
      <c r="F13" s="4">
        <v>356</v>
      </c>
      <c r="G13" s="4">
        <v>33552</v>
      </c>
      <c r="H13" s="5">
        <f>Table37[[#This Row],[MATCHES]]*Table37[[#This Row],[WIN RATE]]</f>
        <v>6193.0413000000008</v>
      </c>
      <c r="I13" s="5">
        <f>Table37[[#This Row],[MATCHES]]-Table37[[#This Row],[Number of wins]]</f>
        <v>5815.9586999999992</v>
      </c>
      <c r="J13" s="4" t="str">
        <f>VLOOKUP(Table37[[#This Row],[GOD]],' Raw Data for God Type'!A:I,2)</f>
        <v>Greek</v>
      </c>
      <c r="K13" s="4" t="str">
        <f>VLOOKUP(Table37[[#This Row],[GOD]],' Raw Data for God Type'!A:I,5)</f>
        <v>Guardian</v>
      </c>
      <c r="L13" s="4" t="str">
        <f>VLOOKUP(Table37[[#This Row],[GOD]],' Raw Data for God Type'!A:I,6)</f>
        <v>Easy</v>
      </c>
      <c r="M13" s="4" t="str">
        <f>VLOOKUP(Table37[[#This Row],[GOD]],' Raw Data for God Type'!A:I,3)</f>
        <v>Melee</v>
      </c>
      <c r="N13" s="4" t="str">
        <f>VLOOKUP(Table37[[#This Row],[GOD]],' Raw Data for God Type'!A:I,4)</f>
        <v>Magical</v>
      </c>
      <c r="O13" s="11">
        <f>VLOOKUP(Table37[[#This Row],[GOD]],' Raw Data for God Type'!$A$2:$I$121,9)</f>
        <v>41186</v>
      </c>
      <c r="Q13">
        <v>0</v>
      </c>
      <c r="R13">
        <f t="shared" si="0"/>
        <v>0</v>
      </c>
      <c r="S13">
        <f t="shared" si="1"/>
        <v>0</v>
      </c>
      <c r="T13">
        <f t="shared" si="2"/>
        <v>0</v>
      </c>
      <c r="U13">
        <f t="shared" si="3"/>
        <v>1</v>
      </c>
      <c r="V13">
        <f t="shared" si="4"/>
        <v>0</v>
      </c>
    </row>
    <row r="14" spans="1:22" x14ac:dyDescent="0.25">
      <c r="A14" s="4" t="s">
        <v>22</v>
      </c>
      <c r="B14" s="4">
        <v>0.5423</v>
      </c>
      <c r="C14" s="4">
        <v>11062</v>
      </c>
      <c r="D14" s="4">
        <v>1.56</v>
      </c>
      <c r="E14" s="4">
        <v>19800</v>
      </c>
      <c r="F14" s="4">
        <v>48</v>
      </c>
      <c r="G14" s="4">
        <v>8086</v>
      </c>
      <c r="H14" s="5">
        <f>Table37[[#This Row],[MATCHES]]*Table37[[#This Row],[WIN RATE]]</f>
        <v>5998.9225999999999</v>
      </c>
      <c r="I14" s="5">
        <f>Table37[[#This Row],[MATCHES]]-Table37[[#This Row],[Number of wins]]</f>
        <v>5063.0774000000001</v>
      </c>
      <c r="J14" s="4" t="str">
        <f>VLOOKUP(Table37[[#This Row],[GOD]],' Raw Data for God Type'!A:I,2)</f>
        <v>Greek</v>
      </c>
      <c r="K14" s="4" t="str">
        <f>VLOOKUP(Table37[[#This Row],[GOD]],' Raw Data for God Type'!A:I,5)</f>
        <v>Hunter</v>
      </c>
      <c r="L14" s="4" t="str">
        <f>VLOOKUP(Table37[[#This Row],[GOD]],' Raw Data for God Type'!A:I,6)</f>
        <v>Average</v>
      </c>
      <c r="M14" s="4" t="str">
        <f>VLOOKUP(Table37[[#This Row],[GOD]],' Raw Data for God Type'!A:I,3)</f>
        <v>Ranged</v>
      </c>
      <c r="N14" s="4" t="str">
        <f>VLOOKUP(Table37[[#This Row],[GOD]],' Raw Data for God Type'!A:I,4)</f>
        <v>Physical</v>
      </c>
      <c r="O14" s="11">
        <f>VLOOKUP(Table37[[#This Row],[GOD]],' Raw Data for God Type'!$A$2:$I$121,9)</f>
        <v>41060</v>
      </c>
      <c r="Q14">
        <v>0</v>
      </c>
      <c r="R14">
        <f t="shared" si="0"/>
        <v>1</v>
      </c>
      <c r="S14">
        <f t="shared" si="1"/>
        <v>0</v>
      </c>
      <c r="T14">
        <f t="shared" si="2"/>
        <v>0</v>
      </c>
      <c r="U14">
        <f t="shared" si="3"/>
        <v>0</v>
      </c>
      <c r="V14">
        <f t="shared" si="4"/>
        <v>0</v>
      </c>
    </row>
    <row r="15" spans="1:22" x14ac:dyDescent="0.25">
      <c r="A15" s="4" t="s">
        <v>153</v>
      </c>
      <c r="B15" s="4">
        <v>0.49809999999999999</v>
      </c>
      <c r="C15" s="4">
        <v>6780</v>
      </c>
      <c r="D15" s="4">
        <v>1.71</v>
      </c>
      <c r="E15" s="4">
        <v>10690</v>
      </c>
      <c r="F15" s="4">
        <v>1652</v>
      </c>
      <c r="G15" s="4">
        <v>34914</v>
      </c>
      <c r="H15" s="5">
        <f>Table37[[#This Row],[MATCHES]]*Table37[[#This Row],[WIN RATE]]</f>
        <v>3377.1179999999999</v>
      </c>
      <c r="I15" s="5">
        <f>Table37[[#This Row],[MATCHES]]-Table37[[#This Row],[Number of wins]]</f>
        <v>3402.8820000000001</v>
      </c>
      <c r="J15" s="4" t="str">
        <f>VLOOKUP(Table37[[#This Row],[GOD]],' Raw Data for God Type'!A:I,2)</f>
        <v>Celtic</v>
      </c>
      <c r="K15" s="4" t="str">
        <f>VLOOKUP(Table37[[#This Row],[GOD]],' Raw Data for God Type'!A:I,5)</f>
        <v>Guardian</v>
      </c>
      <c r="L15" s="4" t="str">
        <f>VLOOKUP(Table37[[#This Row],[GOD]],' Raw Data for God Type'!A:I,6)</f>
        <v>Average</v>
      </c>
      <c r="M15" s="4" t="str">
        <f>VLOOKUP(Table37[[#This Row],[GOD]],' Raw Data for God Type'!A:I,3)</f>
        <v>Melee</v>
      </c>
      <c r="N15" s="4" t="str">
        <f>VLOOKUP(Table37[[#This Row],[GOD]],' Raw Data for God Type'!A:I,4)</f>
        <v>Magical</v>
      </c>
      <c r="O15" s="11">
        <f>VLOOKUP(Table37[[#This Row],[GOD]],' Raw Data for God Type'!$A$2:$I$121,9)</f>
        <v>42948</v>
      </c>
      <c r="Q15">
        <v>0</v>
      </c>
      <c r="R15">
        <f t="shared" si="0"/>
        <v>0</v>
      </c>
      <c r="S15">
        <f t="shared" si="1"/>
        <v>0</v>
      </c>
      <c r="T15">
        <f t="shared" si="2"/>
        <v>0</v>
      </c>
      <c r="U15">
        <f t="shared" si="3"/>
        <v>1</v>
      </c>
      <c r="V15">
        <f t="shared" si="4"/>
        <v>0</v>
      </c>
    </row>
    <row r="16" spans="1:22" x14ac:dyDescent="0.25">
      <c r="A16" s="4" t="s">
        <v>159</v>
      </c>
      <c r="B16" s="4">
        <v>0.49540000000000001</v>
      </c>
      <c r="C16" s="4">
        <v>13271</v>
      </c>
      <c r="D16" s="4">
        <v>1.85</v>
      </c>
      <c r="E16" s="4">
        <v>10103</v>
      </c>
      <c r="F16" s="4">
        <v>540</v>
      </c>
      <c r="G16" s="4">
        <v>33202</v>
      </c>
      <c r="H16" s="5">
        <f>Table37[[#This Row],[MATCHES]]*Table37[[#This Row],[WIN RATE]]</f>
        <v>6574.4534000000003</v>
      </c>
      <c r="I16" s="5">
        <f>Table37[[#This Row],[MATCHES]]-Table37[[#This Row],[Number of wins]]</f>
        <v>6696.5465999999997</v>
      </c>
      <c r="J16" s="4" t="str">
        <f>VLOOKUP(Table37[[#This Row],[GOD]],' Raw Data for God Type'!A:I,2)</f>
        <v>Greek</v>
      </c>
      <c r="K16" s="4" t="str">
        <f>VLOOKUP(Table37[[#This Row],[GOD]],' Raw Data for God Type'!A:I,5)</f>
        <v>Guardian</v>
      </c>
      <c r="L16" s="4" t="str">
        <f>VLOOKUP(Table37[[#This Row],[GOD]],' Raw Data for God Type'!A:I,6)</f>
        <v>Easy</v>
      </c>
      <c r="M16" s="4" t="str">
        <f>VLOOKUP(Table37[[#This Row],[GOD]],' Raw Data for God Type'!A:I,3)</f>
        <v>Melee</v>
      </c>
      <c r="N16" s="4" t="str">
        <f>VLOOKUP(Table37[[#This Row],[GOD]],' Raw Data for God Type'!A:I,4)</f>
        <v>Magical</v>
      </c>
      <c r="O16" s="11">
        <f>VLOOKUP(Table37[[#This Row],[GOD]],' Raw Data for God Type'!$A$2:$I$121,9)</f>
        <v>41430</v>
      </c>
      <c r="Q16">
        <v>0</v>
      </c>
      <c r="R16">
        <f t="shared" si="0"/>
        <v>0</v>
      </c>
      <c r="S16">
        <f t="shared" si="1"/>
        <v>0</v>
      </c>
      <c r="T16">
        <f t="shared" si="2"/>
        <v>0</v>
      </c>
      <c r="U16">
        <f t="shared" si="3"/>
        <v>1</v>
      </c>
      <c r="V16">
        <f t="shared" si="4"/>
        <v>0</v>
      </c>
    </row>
    <row r="17" spans="1:22" x14ac:dyDescent="0.25">
      <c r="A17" s="4" t="s">
        <v>96</v>
      </c>
      <c r="B17" s="4">
        <v>0.51219999999999999</v>
      </c>
      <c r="C17" s="4">
        <v>15104</v>
      </c>
      <c r="D17" s="4">
        <v>2.02</v>
      </c>
      <c r="E17" s="4">
        <v>12741</v>
      </c>
      <c r="F17" s="4">
        <v>604</v>
      </c>
      <c r="G17" s="4">
        <v>32236</v>
      </c>
      <c r="H17" s="5">
        <f>Table37[[#This Row],[MATCHES]]*Table37[[#This Row],[WIN RATE]]</f>
        <v>7736.2687999999998</v>
      </c>
      <c r="I17" s="5">
        <f>Table37[[#This Row],[MATCHES]]-Table37[[#This Row],[Number of wins]]</f>
        <v>7367.7312000000002</v>
      </c>
      <c r="J17" s="4" t="str">
        <f>VLOOKUP(Table37[[#This Row],[GOD]],' Raw Data for God Type'!A:I,2)</f>
        <v>Greek</v>
      </c>
      <c r="K17" s="4" t="str">
        <f>VLOOKUP(Table37[[#This Row],[GOD]],' Raw Data for God Type'!A:I,5)</f>
        <v>Guardian</v>
      </c>
      <c r="L17" s="4" t="str">
        <f>VLOOKUP(Table37[[#This Row],[GOD]],' Raw Data for God Type'!A:I,6)</f>
        <v>Easy</v>
      </c>
      <c r="M17" s="4" t="str">
        <f>VLOOKUP(Table37[[#This Row],[GOD]],' Raw Data for God Type'!A:I,3)</f>
        <v>Melee</v>
      </c>
      <c r="N17" s="4" t="str">
        <f>VLOOKUP(Table37[[#This Row],[GOD]],' Raw Data for God Type'!A:I,4)</f>
        <v>Magical</v>
      </c>
      <c r="O17" s="11">
        <f>VLOOKUP(Table37[[#This Row],[GOD]],' Raw Data for God Type'!$A$2:$I$121,9)</f>
        <v>44544</v>
      </c>
      <c r="Q17">
        <v>0</v>
      </c>
      <c r="R17">
        <f t="shared" si="0"/>
        <v>0</v>
      </c>
      <c r="S17">
        <f t="shared" si="1"/>
        <v>0</v>
      </c>
      <c r="T17">
        <f t="shared" si="2"/>
        <v>0</v>
      </c>
      <c r="U17">
        <f t="shared" si="3"/>
        <v>1</v>
      </c>
      <c r="V17">
        <f t="shared" si="4"/>
        <v>0</v>
      </c>
    </row>
    <row r="18" spans="1:22" x14ac:dyDescent="0.25">
      <c r="A18" s="4" t="s">
        <v>171</v>
      </c>
      <c r="B18" s="4">
        <v>0.48920000000000002</v>
      </c>
      <c r="C18" s="4">
        <v>9867</v>
      </c>
      <c r="D18" s="4">
        <v>1.9</v>
      </c>
      <c r="E18" s="4">
        <v>15872</v>
      </c>
      <c r="F18" s="4">
        <v>19</v>
      </c>
      <c r="G18" s="4">
        <v>10151</v>
      </c>
      <c r="H18" s="5">
        <f>Table37[[#This Row],[MATCHES]]*Table37[[#This Row],[WIN RATE]]</f>
        <v>4826.9364000000005</v>
      </c>
      <c r="I18" s="5">
        <f>Table37[[#This Row],[MATCHES]]-Table37[[#This Row],[Number of wins]]</f>
        <v>5040.0635999999995</v>
      </c>
      <c r="J18" s="4" t="str">
        <f>VLOOKUP(Table37[[#This Row],[GOD]],' Raw Data for God Type'!A:I,2)</f>
        <v>Maya</v>
      </c>
      <c r="K18" s="4" t="str">
        <f>VLOOKUP(Table37[[#This Row],[GOD]],' Raw Data for God Type'!A:I,5)</f>
        <v>Assassin</v>
      </c>
      <c r="L18" s="4" t="str">
        <f>VLOOKUP(Table37[[#This Row],[GOD]],' Raw Data for God Type'!A:I,6)</f>
        <v>Hard</v>
      </c>
      <c r="M18" s="4" t="str">
        <f>VLOOKUP(Table37[[#This Row],[GOD]],' Raw Data for God Type'!A:I,3)</f>
        <v>Melee</v>
      </c>
      <c r="N18" s="4" t="str">
        <f>VLOOKUP(Table37[[#This Row],[GOD]],' Raw Data for God Type'!A:I,4)</f>
        <v>Physical</v>
      </c>
      <c r="O18" s="11">
        <f>VLOOKUP(Table37[[#This Row],[GOD]],' Raw Data for God Type'!$A$2:$I$121,9)</f>
        <v>41990</v>
      </c>
      <c r="Q18">
        <v>0</v>
      </c>
      <c r="R18">
        <f t="shared" si="0"/>
        <v>0</v>
      </c>
      <c r="S18">
        <f t="shared" si="1"/>
        <v>0</v>
      </c>
      <c r="T18">
        <f t="shared" si="2"/>
        <v>0</v>
      </c>
      <c r="U18">
        <f t="shared" si="3"/>
        <v>0</v>
      </c>
      <c r="V18">
        <f t="shared" si="4"/>
        <v>1</v>
      </c>
    </row>
    <row r="19" spans="1:22" x14ac:dyDescent="0.25">
      <c r="A19" s="4" t="s">
        <v>70</v>
      </c>
      <c r="B19" s="4">
        <v>0.52339999999999998</v>
      </c>
      <c r="C19" s="4">
        <v>2946</v>
      </c>
      <c r="D19" s="4">
        <v>1.96</v>
      </c>
      <c r="E19" s="4">
        <v>19575</v>
      </c>
      <c r="F19" s="4">
        <v>81</v>
      </c>
      <c r="G19" s="4">
        <v>8751</v>
      </c>
      <c r="H19" s="5">
        <f>Table37[[#This Row],[MATCHES]]*Table37[[#This Row],[WIN RATE]]</f>
        <v>1541.9363999999998</v>
      </c>
      <c r="I19" s="5">
        <f>Table37[[#This Row],[MATCHES]]-Table37[[#This Row],[Number of wins]]</f>
        <v>1404.0636000000002</v>
      </c>
      <c r="J19" s="4" t="str">
        <f>VLOOKUP(Table37[[#This Row],[GOD]],' Raw Data for God Type'!A:I,2)</f>
        <v>Slavic</v>
      </c>
      <c r="K19" s="4" t="str">
        <f>VLOOKUP(Table37[[#This Row],[GOD]],' Raw Data for God Type'!A:I,5)</f>
        <v>Mage</v>
      </c>
      <c r="L19" s="4" t="str">
        <f>VLOOKUP(Table37[[#This Row],[GOD]],' Raw Data for God Type'!A:I,6)</f>
        <v>Average</v>
      </c>
      <c r="M19" s="4" t="str">
        <f>VLOOKUP(Table37[[#This Row],[GOD]],' Raw Data for God Type'!A:I,3)</f>
        <v>Ranged</v>
      </c>
      <c r="N19" s="4" t="str">
        <f>VLOOKUP(Table37[[#This Row],[GOD]],' Raw Data for God Type'!A:I,4)</f>
        <v>Magical</v>
      </c>
      <c r="O19" s="11">
        <f>VLOOKUP(Table37[[#This Row],[GOD]],' Raw Data for God Type'!$A$2:$I$121,9)</f>
        <v>43942</v>
      </c>
      <c r="Q19">
        <v>0</v>
      </c>
      <c r="R19">
        <f t="shared" si="0"/>
        <v>0</v>
      </c>
      <c r="S19">
        <f t="shared" si="1"/>
        <v>0</v>
      </c>
      <c r="T19">
        <f t="shared" si="2"/>
        <v>1</v>
      </c>
      <c r="U19">
        <f t="shared" si="3"/>
        <v>0</v>
      </c>
      <c r="V19">
        <f t="shared" si="4"/>
        <v>0</v>
      </c>
    </row>
    <row r="20" spans="1:22" x14ac:dyDescent="0.25">
      <c r="A20" s="4" t="s">
        <v>111</v>
      </c>
      <c r="B20" s="4">
        <v>0.50800000000000001</v>
      </c>
      <c r="C20" s="4">
        <v>12903</v>
      </c>
      <c r="D20" s="4">
        <v>2.0699999999999998</v>
      </c>
      <c r="E20" s="4">
        <v>11672</v>
      </c>
      <c r="F20" s="4">
        <v>436</v>
      </c>
      <c r="G20" s="4">
        <v>33573</v>
      </c>
      <c r="H20" s="5">
        <f>Table37[[#This Row],[MATCHES]]*Table37[[#This Row],[WIN RATE]]</f>
        <v>6554.7240000000002</v>
      </c>
      <c r="I20" s="5">
        <f>Table37[[#This Row],[MATCHES]]-Table37[[#This Row],[Number of wins]]</f>
        <v>6348.2759999999998</v>
      </c>
      <c r="J20" s="4" t="str">
        <f>VLOOKUP(Table37[[#This Row],[GOD]],' Raw Data for God Type'!A:I,2)</f>
        <v>Roman</v>
      </c>
      <c r="K20" s="4" t="str">
        <f>VLOOKUP(Table37[[#This Row],[GOD]],' Raw Data for God Type'!A:I,5)</f>
        <v>Guardian</v>
      </c>
      <c r="L20" s="4" t="str">
        <f>VLOOKUP(Table37[[#This Row],[GOD]],' Raw Data for God Type'!A:I,6)</f>
        <v>Average</v>
      </c>
      <c r="M20" s="4" t="str">
        <f>VLOOKUP(Table37[[#This Row],[GOD]],' Raw Data for God Type'!A:I,3)</f>
        <v>Melee</v>
      </c>
      <c r="N20" s="4" t="str">
        <f>VLOOKUP(Table37[[#This Row],[GOD]],' Raw Data for God Type'!A:I,4)</f>
        <v>Magical</v>
      </c>
      <c r="O20" s="11">
        <f>VLOOKUP(Table37[[#This Row],[GOD]],' Raw Data for God Type'!$A$2:$I$121,9)</f>
        <v>41232</v>
      </c>
      <c r="Q20">
        <v>0</v>
      </c>
      <c r="R20">
        <f t="shared" si="0"/>
        <v>0</v>
      </c>
      <c r="S20">
        <f t="shared" si="1"/>
        <v>0</v>
      </c>
      <c r="T20">
        <f t="shared" si="2"/>
        <v>0</v>
      </c>
      <c r="U20">
        <f t="shared" si="3"/>
        <v>1</v>
      </c>
      <c r="V20">
        <f t="shared" si="4"/>
        <v>0</v>
      </c>
    </row>
    <row r="21" spans="1:22" x14ac:dyDescent="0.25">
      <c r="A21" s="4" t="s">
        <v>18</v>
      </c>
      <c r="B21" s="4">
        <v>0.54390000000000005</v>
      </c>
      <c r="C21" s="4">
        <v>8385</v>
      </c>
      <c r="D21" s="4">
        <v>1.96</v>
      </c>
      <c r="E21" s="4">
        <v>18209</v>
      </c>
      <c r="F21" s="4">
        <v>18</v>
      </c>
      <c r="G21" s="4">
        <v>14526</v>
      </c>
      <c r="H21" s="5">
        <f>Table37[[#This Row],[MATCHES]]*Table37[[#This Row],[WIN RATE]]</f>
        <v>4560.6015000000007</v>
      </c>
      <c r="I21" s="5">
        <f>Table37[[#This Row],[MATCHES]]-Table37[[#This Row],[Number of wins]]</f>
        <v>3824.3984999999993</v>
      </c>
      <c r="J21" s="4" t="str">
        <f>VLOOKUP(Table37[[#This Row],[GOD]],' Raw Data for God Type'!A:I,2)</f>
        <v>Hindu</v>
      </c>
      <c r="K21" s="4" t="str">
        <f>VLOOKUP(Table37[[#This Row],[GOD]],' Raw Data for God Type'!A:I,5)</f>
        <v>Assassin</v>
      </c>
      <c r="L21" s="4" t="str">
        <f>VLOOKUP(Table37[[#This Row],[GOD]],' Raw Data for God Type'!A:I,6)</f>
        <v>Easy</v>
      </c>
      <c r="M21" s="4" t="str">
        <f>VLOOKUP(Table37[[#This Row],[GOD]],' Raw Data for God Type'!A:I,3)</f>
        <v>Melee</v>
      </c>
      <c r="N21" s="4" t="str">
        <f>VLOOKUP(Table37[[#This Row],[GOD]],' Raw Data for God Type'!A:I,4)</f>
        <v>Physical</v>
      </c>
      <c r="O21" s="11">
        <f>VLOOKUP(Table37[[#This Row],[GOD]],' Raw Data for God Type'!$A$2:$I$121,9)</f>
        <v>41110</v>
      </c>
      <c r="Q21">
        <v>0</v>
      </c>
      <c r="R21">
        <f t="shared" si="0"/>
        <v>0</v>
      </c>
      <c r="S21">
        <f t="shared" si="1"/>
        <v>0</v>
      </c>
      <c r="T21">
        <f t="shared" si="2"/>
        <v>0</v>
      </c>
      <c r="U21">
        <f t="shared" si="3"/>
        <v>0</v>
      </c>
      <c r="V21">
        <f t="shared" si="4"/>
        <v>1</v>
      </c>
    </row>
    <row r="22" spans="1:22" x14ac:dyDescent="0.25">
      <c r="A22" s="4" t="s">
        <v>32</v>
      </c>
      <c r="B22" s="4">
        <v>0.54049999999999998</v>
      </c>
      <c r="C22" s="4">
        <v>10711</v>
      </c>
      <c r="D22" s="4">
        <v>1.67</v>
      </c>
      <c r="E22" s="4">
        <v>15971</v>
      </c>
      <c r="F22" s="4">
        <v>2072</v>
      </c>
      <c r="G22" s="4">
        <v>16508</v>
      </c>
      <c r="H22" s="5">
        <f>Table37[[#This Row],[MATCHES]]*Table37[[#This Row],[WIN RATE]]</f>
        <v>5789.2955000000002</v>
      </c>
      <c r="I22" s="5">
        <f>Table37[[#This Row],[MATCHES]]-Table37[[#This Row],[Number of wins]]</f>
        <v>4921.7044999999998</v>
      </c>
      <c r="J22" s="4" t="str">
        <f>VLOOKUP(Table37[[#This Row],[GOD]],' Raw Data for God Type'!A:I,2)</f>
        <v>Voodoo</v>
      </c>
      <c r="K22" s="4" t="str">
        <f>VLOOKUP(Table37[[#This Row],[GOD]],' Raw Data for God Type'!A:I,5)</f>
        <v>Mage</v>
      </c>
      <c r="L22" s="4" t="str">
        <f>VLOOKUP(Table37[[#This Row],[GOD]],' Raw Data for God Type'!A:I,6)</f>
        <v>Hard</v>
      </c>
      <c r="M22" s="4" t="str">
        <f>VLOOKUP(Table37[[#This Row],[GOD]],' Raw Data for God Type'!A:I,3)</f>
        <v>Ranged</v>
      </c>
      <c r="N22" s="4" t="str">
        <f>VLOOKUP(Table37[[#This Row],[GOD]],' Raw Data for God Type'!A:I,4)</f>
        <v>Magical</v>
      </c>
      <c r="O22" s="11">
        <f>VLOOKUP(Table37[[#This Row],[GOD]],' Raw Data for God Type'!$A$2:$I$121,9)</f>
        <v>43277</v>
      </c>
      <c r="Q22">
        <v>0</v>
      </c>
      <c r="R22">
        <f t="shared" si="0"/>
        <v>0</v>
      </c>
      <c r="S22">
        <f t="shared" si="1"/>
        <v>0</v>
      </c>
      <c r="T22">
        <f t="shared" si="2"/>
        <v>1</v>
      </c>
      <c r="U22">
        <f t="shared" si="3"/>
        <v>0</v>
      </c>
      <c r="V22">
        <f t="shared" si="4"/>
        <v>0</v>
      </c>
    </row>
    <row r="23" spans="1:22" x14ac:dyDescent="0.25">
      <c r="A23" s="4" t="s">
        <v>64</v>
      </c>
      <c r="B23" s="4">
        <v>0.52629999999999999</v>
      </c>
      <c r="C23" s="4">
        <v>9520</v>
      </c>
      <c r="D23" s="4">
        <v>2.1</v>
      </c>
      <c r="E23" s="4">
        <v>17213</v>
      </c>
      <c r="F23" s="4">
        <v>31</v>
      </c>
      <c r="G23" s="4">
        <v>10998</v>
      </c>
      <c r="H23" s="5">
        <f>Table37[[#This Row],[MATCHES]]*Table37[[#This Row],[WIN RATE]]</f>
        <v>5010.3760000000002</v>
      </c>
      <c r="I23" s="5">
        <f>Table37[[#This Row],[MATCHES]]-Table37[[#This Row],[Number of wins]]</f>
        <v>4509.6239999999998</v>
      </c>
      <c r="J23" s="4" t="str">
        <f>VLOOKUP(Table37[[#This Row],[GOD]],' Raw Data for God Type'!A:I,2)</f>
        <v>Egyptian</v>
      </c>
      <c r="K23" s="4" t="str">
        <f>VLOOKUP(Table37[[#This Row],[GOD]],' Raw Data for God Type'!A:I,5)</f>
        <v>Assassin</v>
      </c>
      <c r="L23" s="4" t="str">
        <f>VLOOKUP(Table37[[#This Row],[GOD]],' Raw Data for God Type'!A:I,6)</f>
        <v>Easy</v>
      </c>
      <c r="M23" s="4" t="str">
        <f>VLOOKUP(Table37[[#This Row],[GOD]],' Raw Data for God Type'!A:I,3)</f>
        <v>Melee</v>
      </c>
      <c r="N23" s="4" t="str">
        <f>VLOOKUP(Table37[[#This Row],[GOD]],' Raw Data for God Type'!A:I,4)</f>
        <v>Physical</v>
      </c>
      <c r="O23" s="11">
        <f>VLOOKUP(Table37[[#This Row],[GOD]],' Raw Data for God Type'!$A$2:$I$121,9)</f>
        <v>41060</v>
      </c>
      <c r="Q23">
        <v>0</v>
      </c>
      <c r="R23">
        <f t="shared" si="0"/>
        <v>0</v>
      </c>
      <c r="S23">
        <f t="shared" si="1"/>
        <v>0</v>
      </c>
      <c r="T23">
        <f t="shared" si="2"/>
        <v>0</v>
      </c>
      <c r="U23">
        <f t="shared" si="3"/>
        <v>0</v>
      </c>
      <c r="V23">
        <f t="shared" si="4"/>
        <v>1</v>
      </c>
    </row>
    <row r="24" spans="1:22" x14ac:dyDescent="0.25">
      <c r="A24" s="4" t="s">
        <v>16</v>
      </c>
      <c r="B24" s="4">
        <v>0.54400000000000004</v>
      </c>
      <c r="C24" s="4">
        <v>18497</v>
      </c>
      <c r="D24" s="4">
        <v>1.85</v>
      </c>
      <c r="E24" s="4">
        <v>16567</v>
      </c>
      <c r="F24" s="4">
        <v>63</v>
      </c>
      <c r="G24" s="4">
        <v>29968</v>
      </c>
      <c r="H24" s="5">
        <f>Table37[[#This Row],[MATCHES]]*Table37[[#This Row],[WIN RATE]]</f>
        <v>10062.368</v>
      </c>
      <c r="I24" s="5">
        <f>Table37[[#This Row],[MATCHES]]-Table37[[#This Row],[Number of wins]]</f>
        <v>8434.6319999999996</v>
      </c>
      <c r="J24" s="4" t="str">
        <f>VLOOKUP(Table37[[#This Row],[GOD]],' Raw Data for God Type'!A:I,2)</f>
        <v>Roman</v>
      </c>
      <c r="K24" s="4" t="str">
        <f>VLOOKUP(Table37[[#This Row],[GOD]],' Raw Data for God Type'!A:I,5)</f>
        <v>Warrior</v>
      </c>
      <c r="L24" s="4" t="str">
        <f>VLOOKUP(Table37[[#This Row],[GOD]],' Raw Data for God Type'!A:I,6)</f>
        <v>Average</v>
      </c>
      <c r="M24" s="4" t="str">
        <f>VLOOKUP(Table37[[#This Row],[GOD]],' Raw Data for God Type'!A:I,3)</f>
        <v>Melee</v>
      </c>
      <c r="N24" s="4" t="str">
        <f>VLOOKUP(Table37[[#This Row],[GOD]],' Raw Data for God Type'!A:I,4)</f>
        <v>Physical</v>
      </c>
      <c r="O24" s="11">
        <f>VLOOKUP(Table37[[#This Row],[GOD]],' Raw Data for God Type'!$A$2:$I$121,9)</f>
        <v>42060</v>
      </c>
      <c r="Q24">
        <v>1</v>
      </c>
      <c r="R24">
        <f t="shared" si="0"/>
        <v>0</v>
      </c>
      <c r="S24">
        <f t="shared" si="1"/>
        <v>1</v>
      </c>
      <c r="T24">
        <f t="shared" si="2"/>
        <v>0</v>
      </c>
      <c r="U24">
        <f t="shared" si="3"/>
        <v>0</v>
      </c>
      <c r="V24">
        <f t="shared" si="4"/>
        <v>0</v>
      </c>
    </row>
    <row r="25" spans="1:22" x14ac:dyDescent="0.25">
      <c r="A25" s="4" t="s">
        <v>142</v>
      </c>
      <c r="B25" s="4">
        <v>0.502</v>
      </c>
      <c r="C25" s="4">
        <v>8687</v>
      </c>
      <c r="D25" s="4">
        <v>1.69</v>
      </c>
      <c r="E25" s="4">
        <v>13883</v>
      </c>
      <c r="F25" s="4">
        <v>248</v>
      </c>
      <c r="G25" s="4">
        <v>29974</v>
      </c>
      <c r="H25" s="5">
        <f>Table37[[#This Row],[MATCHES]]*Table37[[#This Row],[WIN RATE]]</f>
        <v>4360.8739999999998</v>
      </c>
      <c r="I25" s="5">
        <f>Table37[[#This Row],[MATCHES]]-Table37[[#This Row],[Number of wins]]</f>
        <v>4326.1260000000002</v>
      </c>
      <c r="J25" s="4" t="str">
        <f>VLOOKUP(Table37[[#This Row],[GOD]],' Raw Data for God Type'!A:I,2)</f>
        <v>Maya</v>
      </c>
      <c r="K25" s="4" t="str">
        <f>VLOOKUP(Table37[[#This Row],[GOD]],' Raw Data for God Type'!A:I,5)</f>
        <v>Guardian</v>
      </c>
      <c r="L25" s="4" t="str">
        <f>VLOOKUP(Table37[[#This Row],[GOD]],' Raw Data for God Type'!A:I,6)</f>
        <v>Average</v>
      </c>
      <c r="M25" s="4" t="str">
        <f>VLOOKUP(Table37[[#This Row],[GOD]],' Raw Data for God Type'!A:I,3)</f>
        <v>Melee</v>
      </c>
      <c r="N25" s="4" t="str">
        <f>VLOOKUP(Table37[[#This Row],[GOD]],' Raw Data for God Type'!A:I,4)</f>
        <v>Magical</v>
      </c>
      <c r="O25" s="11">
        <f>VLOOKUP(Table37[[#This Row],[GOD]],' Raw Data for God Type'!$A$2:$I$121,9)</f>
        <v>41870</v>
      </c>
      <c r="Q25">
        <v>0</v>
      </c>
      <c r="R25">
        <f t="shared" si="0"/>
        <v>0</v>
      </c>
      <c r="S25">
        <f t="shared" si="1"/>
        <v>0</v>
      </c>
      <c r="T25">
        <f t="shared" si="2"/>
        <v>0</v>
      </c>
      <c r="U25">
        <f t="shared" si="3"/>
        <v>1</v>
      </c>
      <c r="V25">
        <f t="shared" si="4"/>
        <v>0</v>
      </c>
    </row>
    <row r="26" spans="1:22" x14ac:dyDescent="0.25">
      <c r="A26" s="4" t="s">
        <v>209</v>
      </c>
      <c r="B26" s="4">
        <v>0.47160000000000002</v>
      </c>
      <c r="C26" s="4">
        <v>4088</v>
      </c>
      <c r="D26" s="4">
        <v>1.86</v>
      </c>
      <c r="E26" s="4">
        <v>15760</v>
      </c>
      <c r="F26" s="4">
        <v>22</v>
      </c>
      <c r="G26" s="4">
        <v>17771</v>
      </c>
      <c r="H26" s="5">
        <f>Table37[[#This Row],[MATCHES]]*Table37[[#This Row],[WIN RATE]]</f>
        <v>1927.9008000000001</v>
      </c>
      <c r="I26" s="5">
        <f>Table37[[#This Row],[MATCHES]]-Table37[[#This Row],[Number of wins]]</f>
        <v>2160.0991999999997</v>
      </c>
      <c r="J26" s="4" t="str">
        <f>VLOOKUP(Table37[[#This Row],[GOD]],' Raw Data for God Type'!A:I,2)</f>
        <v>Maya</v>
      </c>
      <c r="K26" s="4" t="str">
        <f>VLOOKUP(Table37[[#This Row],[GOD]],' Raw Data for God Type'!A:I,5)</f>
        <v>Assassin</v>
      </c>
      <c r="L26" s="4" t="str">
        <f>VLOOKUP(Table37[[#This Row],[GOD]],' Raw Data for God Type'!A:I,6)</f>
        <v>Average</v>
      </c>
      <c r="M26" s="4" t="str">
        <f>VLOOKUP(Table37[[#This Row],[GOD]],' Raw Data for God Type'!A:I,3)</f>
        <v>Melee</v>
      </c>
      <c r="N26" s="4" t="str">
        <f>VLOOKUP(Table37[[#This Row],[GOD]],' Raw Data for God Type'!A:I,4)</f>
        <v>Physical</v>
      </c>
      <c r="O26" s="11">
        <f>VLOOKUP(Table37[[#This Row],[GOD]],' Raw Data for God Type'!$A$2:$I$121,9)</f>
        <v>42654</v>
      </c>
      <c r="Q26">
        <v>0</v>
      </c>
      <c r="R26">
        <f t="shared" si="0"/>
        <v>0</v>
      </c>
      <c r="S26">
        <f t="shared" si="1"/>
        <v>0</v>
      </c>
      <c r="T26">
        <f t="shared" si="2"/>
        <v>0</v>
      </c>
      <c r="U26">
        <f t="shared" si="3"/>
        <v>0</v>
      </c>
      <c r="V26">
        <f t="shared" si="4"/>
        <v>1</v>
      </c>
    </row>
    <row r="27" spans="1:22" x14ac:dyDescent="0.25">
      <c r="A27" s="4" t="s">
        <v>207</v>
      </c>
      <c r="B27" s="4">
        <v>0.4718</v>
      </c>
      <c r="C27" s="4">
        <v>7736</v>
      </c>
      <c r="D27" s="4">
        <v>1.71</v>
      </c>
      <c r="E27" s="4">
        <v>12045</v>
      </c>
      <c r="F27" s="4">
        <v>384</v>
      </c>
      <c r="G27" s="4">
        <v>33038</v>
      </c>
      <c r="H27" s="5">
        <f>Table37[[#This Row],[MATCHES]]*Table37[[#This Row],[WIN RATE]]</f>
        <v>3649.8447999999999</v>
      </c>
      <c r="I27" s="5">
        <f>Table37[[#This Row],[MATCHES]]-Table37[[#This Row],[Number of wins]]</f>
        <v>4086.1552000000001</v>
      </c>
      <c r="J27" s="4" t="str">
        <f>VLOOKUP(Table37[[#This Row],[GOD]],' Raw Data for God Type'!A:I,2)</f>
        <v>Greek</v>
      </c>
      <c r="K27" s="4" t="str">
        <f>VLOOKUP(Table37[[#This Row],[GOD]],' Raw Data for God Type'!A:I,5)</f>
        <v>Guardian</v>
      </c>
      <c r="L27" s="4" t="str">
        <f>VLOOKUP(Table37[[#This Row],[GOD]],' Raw Data for God Type'!A:I,6)</f>
        <v>Easy</v>
      </c>
      <c r="M27" s="4" t="str">
        <f>VLOOKUP(Table37[[#This Row],[GOD]],' Raw Data for God Type'!A:I,3)</f>
        <v>Melee</v>
      </c>
      <c r="N27" s="4" t="str">
        <f>VLOOKUP(Table37[[#This Row],[GOD]],' Raw Data for God Type'!A:I,4)</f>
        <v>Magical</v>
      </c>
      <c r="O27" s="11">
        <f>VLOOKUP(Table37[[#This Row],[GOD]],' Raw Data for God Type'!$A$2:$I$121,9)</f>
        <v>43109</v>
      </c>
      <c r="Q27">
        <v>0</v>
      </c>
      <c r="R27">
        <f t="shared" si="0"/>
        <v>0</v>
      </c>
      <c r="S27">
        <f t="shared" si="1"/>
        <v>0</v>
      </c>
      <c r="T27">
        <f t="shared" si="2"/>
        <v>0</v>
      </c>
      <c r="U27">
        <f t="shared" si="3"/>
        <v>1</v>
      </c>
      <c r="V27">
        <f t="shared" si="4"/>
        <v>0</v>
      </c>
    </row>
    <row r="28" spans="1:22" x14ac:dyDescent="0.25">
      <c r="A28" s="4" t="s">
        <v>52</v>
      </c>
      <c r="B28" s="4">
        <v>0.52969999999999995</v>
      </c>
      <c r="C28" s="4">
        <v>12174</v>
      </c>
      <c r="D28" s="4">
        <v>1.69</v>
      </c>
      <c r="E28" s="4">
        <v>18776</v>
      </c>
      <c r="F28" s="4">
        <v>35</v>
      </c>
      <c r="G28" s="4">
        <v>8726</v>
      </c>
      <c r="H28" s="5">
        <f>Table37[[#This Row],[MATCHES]]*Table37[[#This Row],[WIN RATE]]</f>
        <v>6448.5677999999998</v>
      </c>
      <c r="I28" s="5">
        <f>Table37[[#This Row],[MATCHES]]-Table37[[#This Row],[Number of wins]]</f>
        <v>5725.4322000000002</v>
      </c>
      <c r="J28" s="4" t="str">
        <f>VLOOKUP(Table37[[#This Row],[GOD]],' Raw Data for God Type'!A:I,2)</f>
        <v>Celtic</v>
      </c>
      <c r="K28" s="4" t="str">
        <f>VLOOKUP(Table37[[#This Row],[GOD]],' Raw Data for God Type'!A:I,5)</f>
        <v>Hunter</v>
      </c>
      <c r="L28" s="4" t="str">
        <f>VLOOKUP(Table37[[#This Row],[GOD]],' Raw Data for God Type'!A:I,6)</f>
        <v>Average</v>
      </c>
      <c r="M28" s="4" t="str">
        <f>VLOOKUP(Table37[[#This Row],[GOD]],' Raw Data for God Type'!A:I,3)</f>
        <v>Ranged</v>
      </c>
      <c r="N28" s="4" t="str">
        <f>VLOOKUP(Table37[[#This Row],[GOD]],' Raw Data for God Type'!A:I,4)</f>
        <v>Physical</v>
      </c>
      <c r="O28" s="11">
        <f>VLOOKUP(Table37[[#This Row],[GOD]],' Raw Data for God Type'!$A$2:$I$121,9)</f>
        <v>42808</v>
      </c>
      <c r="Q28">
        <v>0</v>
      </c>
      <c r="R28">
        <f t="shared" si="0"/>
        <v>1</v>
      </c>
      <c r="S28">
        <f t="shared" si="1"/>
        <v>0</v>
      </c>
      <c r="T28">
        <f t="shared" si="2"/>
        <v>0</v>
      </c>
      <c r="U28">
        <f t="shared" si="3"/>
        <v>0</v>
      </c>
      <c r="V28">
        <f t="shared" si="4"/>
        <v>0</v>
      </c>
    </row>
    <row r="29" spans="1:22" x14ac:dyDescent="0.25">
      <c r="A29" s="4" t="s">
        <v>130</v>
      </c>
      <c r="B29" s="4">
        <v>0.50509999999999999</v>
      </c>
      <c r="C29" s="4">
        <v>12180</v>
      </c>
      <c r="D29" s="4">
        <v>1.75</v>
      </c>
      <c r="E29" s="4">
        <v>17348</v>
      </c>
      <c r="F29" s="4">
        <v>92</v>
      </c>
      <c r="G29" s="4">
        <v>31049</v>
      </c>
      <c r="H29" s="5">
        <f>Table37[[#This Row],[MATCHES]]*Table37[[#This Row],[WIN RATE]]</f>
        <v>6152.1179999999995</v>
      </c>
      <c r="I29" s="5">
        <f>Table37[[#This Row],[MATCHES]]-Table37[[#This Row],[Number of wins]]</f>
        <v>6027.8820000000005</v>
      </c>
      <c r="J29" s="4" t="str">
        <f>VLOOKUP(Table37[[#This Row],[GOD]],' Raw Data for God Type'!A:I,2)</f>
        <v>Maya</v>
      </c>
      <c r="K29" s="4" t="str">
        <f>VLOOKUP(Table37[[#This Row],[GOD]],' Raw Data for God Type'!A:I,5)</f>
        <v>Warrior</v>
      </c>
      <c r="L29" s="4" t="str">
        <f>VLOOKUP(Table37[[#This Row],[GOD]],' Raw Data for God Type'!A:I,6)</f>
        <v>Average</v>
      </c>
      <c r="M29" s="4" t="str">
        <f>VLOOKUP(Table37[[#This Row],[GOD]],' Raw Data for God Type'!A:I,3)</f>
        <v>Melee</v>
      </c>
      <c r="N29" s="4" t="str">
        <f>VLOOKUP(Table37[[#This Row],[GOD]],' Raw Data for God Type'!A:I,4)</f>
        <v>Physical</v>
      </c>
      <c r="O29" s="11">
        <f>VLOOKUP(Table37[[#This Row],[GOD]],' Raw Data for God Type'!$A$2:$I$121,9)</f>
        <v>41626</v>
      </c>
      <c r="Q29">
        <v>0</v>
      </c>
      <c r="R29">
        <f t="shared" si="0"/>
        <v>0</v>
      </c>
      <c r="S29">
        <f t="shared" si="1"/>
        <v>1</v>
      </c>
      <c r="T29">
        <f t="shared" si="2"/>
        <v>0</v>
      </c>
      <c r="U29">
        <f t="shared" si="3"/>
        <v>0</v>
      </c>
      <c r="V29">
        <f t="shared" si="4"/>
        <v>0</v>
      </c>
    </row>
    <row r="30" spans="1:22" x14ac:dyDescent="0.25">
      <c r="A30" s="4" t="s">
        <v>66</v>
      </c>
      <c r="B30" s="4">
        <v>0.52610000000000001</v>
      </c>
      <c r="C30" s="4">
        <v>6554</v>
      </c>
      <c r="D30" s="4">
        <v>1.61</v>
      </c>
      <c r="E30" s="4">
        <v>15998</v>
      </c>
      <c r="F30" s="4">
        <v>3593</v>
      </c>
      <c r="G30" s="4">
        <v>11197</v>
      </c>
      <c r="H30" s="5">
        <f>Table37[[#This Row],[MATCHES]]*Table37[[#This Row],[WIN RATE]]</f>
        <v>3448.0594000000001</v>
      </c>
      <c r="I30" s="5">
        <f>Table37[[#This Row],[MATCHES]]-Table37[[#This Row],[Number of wins]]</f>
        <v>3105.9405999999999</v>
      </c>
      <c r="J30" s="4" t="str">
        <f>VLOOKUP(Table37[[#This Row],[GOD]],' Raw Data for God Type'!A:I,2)</f>
        <v>Chinese</v>
      </c>
      <c r="K30" s="4" t="str">
        <f>VLOOKUP(Table37[[#This Row],[GOD]],' Raw Data for God Type'!A:I,5)</f>
        <v>Mage</v>
      </c>
      <c r="L30" s="4" t="str">
        <f>VLOOKUP(Table37[[#This Row],[GOD]],' Raw Data for God Type'!A:I,6)</f>
        <v>Average</v>
      </c>
      <c r="M30" s="4" t="str">
        <f>VLOOKUP(Table37[[#This Row],[GOD]],' Raw Data for God Type'!A:I,3)</f>
        <v>Ranged</v>
      </c>
      <c r="N30" s="4" t="str">
        <f>VLOOKUP(Table37[[#This Row],[GOD]],' Raw Data for God Type'!A:I,4)</f>
        <v>Magical</v>
      </c>
      <c r="O30" s="11">
        <f>VLOOKUP(Table37[[#This Row],[GOD]],' Raw Data for God Type'!$A$2:$I$121,9)</f>
        <v>41479</v>
      </c>
      <c r="Q30">
        <v>0</v>
      </c>
      <c r="R30">
        <f t="shared" si="0"/>
        <v>0</v>
      </c>
      <c r="S30">
        <f t="shared" si="1"/>
        <v>0</v>
      </c>
      <c r="T30">
        <f t="shared" si="2"/>
        <v>1</v>
      </c>
      <c r="U30">
        <f t="shared" si="3"/>
        <v>0</v>
      </c>
      <c r="V30">
        <f t="shared" si="4"/>
        <v>0</v>
      </c>
    </row>
    <row r="31" spans="1:22" x14ac:dyDescent="0.25">
      <c r="A31" s="4" t="s">
        <v>199</v>
      </c>
      <c r="B31" s="4">
        <v>0.47339999999999999</v>
      </c>
      <c r="C31" s="4">
        <v>10282</v>
      </c>
      <c r="D31" s="4">
        <v>1.42</v>
      </c>
      <c r="E31" s="4">
        <v>16771</v>
      </c>
      <c r="F31" s="4">
        <v>31</v>
      </c>
      <c r="G31" s="4">
        <v>7746</v>
      </c>
      <c r="H31" s="5">
        <f>Table37[[#This Row],[MATCHES]]*Table37[[#This Row],[WIN RATE]]</f>
        <v>4867.4988000000003</v>
      </c>
      <c r="I31" s="5">
        <f>Table37[[#This Row],[MATCHES]]-Table37[[#This Row],[Number of wins]]</f>
        <v>5414.5011999999997</v>
      </c>
      <c r="J31" s="4" t="str">
        <f>VLOOKUP(Table37[[#This Row],[GOD]],' Raw Data for God Type'!A:I,2)</f>
        <v>Greek</v>
      </c>
      <c r="K31" s="4" t="str">
        <f>VLOOKUP(Table37[[#This Row],[GOD]],' Raw Data for God Type'!A:I,5)</f>
        <v>Hunter</v>
      </c>
      <c r="L31" s="4" t="str">
        <f>VLOOKUP(Table37[[#This Row],[GOD]],' Raw Data for God Type'!A:I,6)</f>
        <v>Average</v>
      </c>
      <c r="M31" s="4" t="str">
        <f>VLOOKUP(Table37[[#This Row],[GOD]],' Raw Data for God Type'!A:I,3)</f>
        <v>Ranged</v>
      </c>
      <c r="N31" s="4" t="str">
        <f>VLOOKUP(Table37[[#This Row],[GOD]],' Raw Data for God Type'!A:I,4)</f>
        <v>Physical</v>
      </c>
      <c r="O31" s="11">
        <f>VLOOKUP(Table37[[#This Row],[GOD]],' Raw Data for God Type'!$A$2:$I$121,9)</f>
        <v>44432</v>
      </c>
      <c r="Q31">
        <v>0</v>
      </c>
      <c r="R31">
        <f t="shared" si="0"/>
        <v>1</v>
      </c>
      <c r="S31">
        <f t="shared" si="1"/>
        <v>0</v>
      </c>
      <c r="T31">
        <f t="shared" si="2"/>
        <v>0</v>
      </c>
      <c r="U31">
        <f t="shared" si="3"/>
        <v>0</v>
      </c>
      <c r="V31">
        <f t="shared" si="4"/>
        <v>0</v>
      </c>
    </row>
    <row r="32" spans="1:22" x14ac:dyDescent="0.25">
      <c r="A32" s="4" t="s">
        <v>46</v>
      </c>
      <c r="B32" s="4">
        <v>0.53249999999999997</v>
      </c>
      <c r="C32" s="4">
        <v>5608</v>
      </c>
      <c r="D32" s="4">
        <v>1.82</v>
      </c>
      <c r="E32" s="4">
        <v>18072</v>
      </c>
      <c r="F32" s="4">
        <v>32</v>
      </c>
      <c r="G32" s="4">
        <v>8895</v>
      </c>
      <c r="H32" s="5">
        <f>Table37[[#This Row],[MATCHES]]*Table37[[#This Row],[WIN RATE]]</f>
        <v>2986.2599999999998</v>
      </c>
      <c r="I32" s="5">
        <f>Table37[[#This Row],[MATCHES]]-Table37[[#This Row],[Number of wins]]</f>
        <v>2621.7400000000002</v>
      </c>
      <c r="J32" s="4" t="str">
        <f>VLOOKUP(Table37[[#This Row],[GOD]],' Raw Data for God Type'!A:I,2)</f>
        <v>Slavic</v>
      </c>
      <c r="K32" s="4" t="str">
        <f>VLOOKUP(Table37[[#This Row],[GOD]],' Raw Data for God Type'!A:I,5)</f>
        <v>Hunter</v>
      </c>
      <c r="L32" s="4" t="str">
        <f>VLOOKUP(Table37[[#This Row],[GOD]],' Raw Data for God Type'!A:I,6)</f>
        <v>Hard</v>
      </c>
      <c r="M32" s="4" t="str">
        <f>VLOOKUP(Table37[[#This Row],[GOD]],' Raw Data for God Type'!A:I,3)</f>
        <v>Ranged</v>
      </c>
      <c r="N32" s="4" t="str">
        <f>VLOOKUP(Table37[[#This Row],[GOD]],' Raw Data for God Type'!A:I,4)</f>
        <v>Physical</v>
      </c>
      <c r="O32" s="11">
        <f>VLOOKUP(Table37[[#This Row],[GOD]],' Raw Data for God Type'!$A$2:$I$121,9)</f>
        <v>43235</v>
      </c>
      <c r="Q32">
        <v>0</v>
      </c>
      <c r="R32">
        <f t="shared" si="0"/>
        <v>1</v>
      </c>
      <c r="S32">
        <f t="shared" si="1"/>
        <v>0</v>
      </c>
      <c r="T32">
        <f t="shared" si="2"/>
        <v>0</v>
      </c>
      <c r="U32">
        <f t="shared" si="3"/>
        <v>0</v>
      </c>
      <c r="V32">
        <f t="shared" si="4"/>
        <v>0</v>
      </c>
    </row>
    <row r="33" spans="1:22" x14ac:dyDescent="0.25">
      <c r="A33" s="4" t="s">
        <v>48</v>
      </c>
      <c r="B33" s="4">
        <v>0.53159999999999996</v>
      </c>
      <c r="C33" s="4">
        <v>9710</v>
      </c>
      <c r="D33" s="4">
        <v>1.99</v>
      </c>
      <c r="E33" s="4">
        <v>18549</v>
      </c>
      <c r="F33" s="4">
        <v>1132</v>
      </c>
      <c r="G33" s="4">
        <v>7904</v>
      </c>
      <c r="H33" s="5">
        <f>Table37[[#This Row],[MATCHES]]*Table37[[#This Row],[WIN RATE]]</f>
        <v>5161.8359999999993</v>
      </c>
      <c r="I33" s="5">
        <f>Table37[[#This Row],[MATCHES]]-Table37[[#This Row],[Number of wins]]</f>
        <v>4548.1640000000007</v>
      </c>
      <c r="J33" s="4" t="str">
        <f>VLOOKUP(Table37[[#This Row],[GOD]],' Raw Data for God Type'!A:I,2)</f>
        <v>Greek</v>
      </c>
      <c r="K33" s="4" t="str">
        <f>VLOOKUP(Table37[[#This Row],[GOD]],' Raw Data for God Type'!A:I,5)</f>
        <v>Hunter</v>
      </c>
      <c r="L33" s="4" t="str">
        <f>VLOOKUP(Table37[[#This Row],[GOD]],' Raw Data for God Type'!A:I,6)</f>
        <v>Easy</v>
      </c>
      <c r="M33" s="4" t="str">
        <f>VLOOKUP(Table37[[#This Row],[GOD]],' Raw Data for God Type'!A:I,3)</f>
        <v>Ranged</v>
      </c>
      <c r="N33" s="4" t="str">
        <f>VLOOKUP(Table37[[#This Row],[GOD]],' Raw Data for God Type'!A:I,4)</f>
        <v>Physical</v>
      </c>
      <c r="O33" s="11">
        <f>VLOOKUP(Table37[[#This Row],[GOD]],' Raw Data for God Type'!$A$2:$I$121,9)</f>
        <v>42325</v>
      </c>
      <c r="Q33">
        <v>0</v>
      </c>
      <c r="R33">
        <f t="shared" si="0"/>
        <v>1</v>
      </c>
      <c r="S33">
        <f t="shared" si="1"/>
        <v>0</v>
      </c>
      <c r="T33">
        <f t="shared" si="2"/>
        <v>0</v>
      </c>
      <c r="U33">
        <f t="shared" si="3"/>
        <v>0</v>
      </c>
      <c r="V33">
        <f t="shared" si="4"/>
        <v>0</v>
      </c>
    </row>
    <row r="34" spans="1:22" x14ac:dyDescent="0.25">
      <c r="A34" s="4" t="s">
        <v>76</v>
      </c>
      <c r="B34" s="4">
        <v>0.51939999999999997</v>
      </c>
      <c r="C34" s="4">
        <v>4505</v>
      </c>
      <c r="D34" s="4">
        <v>1.64</v>
      </c>
      <c r="E34" s="4">
        <v>17270</v>
      </c>
      <c r="F34" s="4">
        <v>47</v>
      </c>
      <c r="G34" s="4">
        <v>9701</v>
      </c>
      <c r="H34" s="5">
        <f>Table37[[#This Row],[MATCHES]]*Table37[[#This Row],[WIN RATE]]</f>
        <v>2339.8969999999999</v>
      </c>
      <c r="I34" s="5">
        <f>Table37[[#This Row],[MATCHES]]-Table37[[#This Row],[Number of wins]]</f>
        <v>2165.1030000000001</v>
      </c>
      <c r="J34" s="4" t="str">
        <f>VLOOKUP(Table37[[#This Row],[GOD]],' Raw Data for God Type'!A:I,2)</f>
        <v>Greek</v>
      </c>
      <c r="K34" s="4" t="str">
        <f>VLOOKUP(Table37[[#This Row],[GOD]],' Raw Data for God Type'!A:I,5)</f>
        <v>Mage</v>
      </c>
      <c r="L34" s="4" t="str">
        <f>VLOOKUP(Table37[[#This Row],[GOD]],' Raw Data for God Type'!A:I,6)</f>
        <v>Hard</v>
      </c>
      <c r="M34" s="4" t="str">
        <f>VLOOKUP(Table37[[#This Row],[GOD]],' Raw Data for God Type'!A:I,3)</f>
        <v>Ranged</v>
      </c>
      <c r="N34" s="4" t="str">
        <f>VLOOKUP(Table37[[#This Row],[GOD]],' Raw Data for God Type'!A:I,4)</f>
        <v>Magical</v>
      </c>
      <c r="O34" s="11">
        <f>VLOOKUP(Table37[[#This Row],[GOD]],' Raw Data for God Type'!$A$2:$I$121,9)</f>
        <v>41465</v>
      </c>
      <c r="Q34">
        <v>0</v>
      </c>
      <c r="R34">
        <f t="shared" si="0"/>
        <v>0</v>
      </c>
      <c r="S34">
        <f t="shared" si="1"/>
        <v>0</v>
      </c>
      <c r="T34">
        <f t="shared" si="2"/>
        <v>1</v>
      </c>
      <c r="U34">
        <f t="shared" si="3"/>
        <v>0</v>
      </c>
      <c r="V34">
        <f t="shared" si="4"/>
        <v>0</v>
      </c>
    </row>
    <row r="35" spans="1:22" x14ac:dyDescent="0.25">
      <c r="A35" s="4" t="s">
        <v>24</v>
      </c>
      <c r="B35" s="4">
        <v>0.54190000000000005</v>
      </c>
      <c r="C35" s="4">
        <v>17716</v>
      </c>
      <c r="D35" s="4">
        <v>2.0699999999999998</v>
      </c>
      <c r="E35" s="4">
        <v>19750</v>
      </c>
      <c r="F35" s="4">
        <v>23</v>
      </c>
      <c r="G35" s="4">
        <v>12867</v>
      </c>
      <c r="H35" s="5">
        <f>Table37[[#This Row],[MATCHES]]*Table37[[#This Row],[WIN RATE]]</f>
        <v>9600.3004000000001</v>
      </c>
      <c r="I35" s="5">
        <f>Table37[[#This Row],[MATCHES]]-Table37[[#This Row],[Number of wins]]</f>
        <v>8115.6995999999999</v>
      </c>
      <c r="J35" s="4" t="str">
        <f>VLOOKUP(Table37[[#This Row],[GOD]],' Raw Data for God Type'!A:I,2)</f>
        <v>Celtic</v>
      </c>
      <c r="K35" s="4" t="str">
        <f>VLOOKUP(Table37[[#This Row],[GOD]],' Raw Data for God Type'!A:I,5)</f>
        <v>Assassin</v>
      </c>
      <c r="L35" s="4" t="str">
        <f>VLOOKUP(Table37[[#This Row],[GOD]],' Raw Data for God Type'!A:I,6)</f>
        <v>Average</v>
      </c>
      <c r="M35" s="4" t="str">
        <f>VLOOKUP(Table37[[#This Row],[GOD]],' Raw Data for God Type'!A:I,3)</f>
        <v>Melee</v>
      </c>
      <c r="N35" s="4" t="str">
        <f>VLOOKUP(Table37[[#This Row],[GOD]],' Raw Data for God Type'!A:I,4)</f>
        <v>Physical</v>
      </c>
      <c r="O35" s="11">
        <f>VLOOKUP(Table37[[#This Row],[GOD]],' Raw Data for God Type'!$A$2:$I$121,9)</f>
        <v>44488</v>
      </c>
      <c r="Q35">
        <v>0</v>
      </c>
      <c r="R35">
        <f t="shared" si="0"/>
        <v>0</v>
      </c>
      <c r="S35">
        <f t="shared" si="1"/>
        <v>0</v>
      </c>
      <c r="T35">
        <f t="shared" si="2"/>
        <v>0</v>
      </c>
      <c r="U35">
        <f t="shared" si="3"/>
        <v>0</v>
      </c>
      <c r="V35">
        <f t="shared" si="4"/>
        <v>1</v>
      </c>
    </row>
    <row r="36" spans="1:22" x14ac:dyDescent="0.25">
      <c r="A36" s="4" t="s">
        <v>144</v>
      </c>
      <c r="B36" s="4">
        <v>0.50080000000000002</v>
      </c>
      <c r="C36" s="4">
        <v>10985</v>
      </c>
      <c r="D36" s="4">
        <v>1.91</v>
      </c>
      <c r="E36" s="4">
        <v>16001</v>
      </c>
      <c r="F36" s="4">
        <v>1121</v>
      </c>
      <c r="G36" s="4">
        <v>32169</v>
      </c>
      <c r="H36" s="5">
        <f>Table37[[#This Row],[MATCHES]]*Table37[[#This Row],[WIN RATE]]</f>
        <v>5501.2880000000005</v>
      </c>
      <c r="I36" s="5">
        <f>Table37[[#This Row],[MATCHES]]-Table37[[#This Row],[Number of wins]]</f>
        <v>5483.7119999999995</v>
      </c>
      <c r="J36" s="4" t="str">
        <f>VLOOKUP(Table37[[#This Row],[GOD]],' Raw Data for God Type'!A:I,2)</f>
        <v>Great Old Ones</v>
      </c>
      <c r="K36" s="4" t="str">
        <f>VLOOKUP(Table37[[#This Row],[GOD]],' Raw Data for God Type'!A:I,5)</f>
        <v>Guardian</v>
      </c>
      <c r="L36" s="4" t="str">
        <f>VLOOKUP(Table37[[#This Row],[GOD]],' Raw Data for God Type'!A:I,6)</f>
        <v>Average</v>
      </c>
      <c r="M36" s="4" t="str">
        <f>VLOOKUP(Table37[[#This Row],[GOD]],' Raw Data for God Type'!A:I,3)</f>
        <v>Melee</v>
      </c>
      <c r="N36" s="4" t="str">
        <f>VLOOKUP(Table37[[#This Row],[GOD]],' Raw Data for God Type'!A:I,4)</f>
        <v>Magical</v>
      </c>
      <c r="O36" s="11">
        <f>VLOOKUP(Table37[[#This Row],[GOD]],' Raw Data for God Type'!$A$2:$I$121,9)</f>
        <v>43998</v>
      </c>
      <c r="Q36">
        <v>0</v>
      </c>
      <c r="R36">
        <f t="shared" si="0"/>
        <v>0</v>
      </c>
      <c r="S36">
        <f t="shared" si="1"/>
        <v>0</v>
      </c>
      <c r="T36">
        <f t="shared" si="2"/>
        <v>0</v>
      </c>
      <c r="U36">
        <f t="shared" si="3"/>
        <v>1</v>
      </c>
      <c r="V36">
        <f t="shared" si="4"/>
        <v>0</v>
      </c>
    </row>
    <row r="37" spans="1:22" x14ac:dyDescent="0.25">
      <c r="A37" s="4" t="s">
        <v>211</v>
      </c>
      <c r="B37" s="4">
        <v>0.47149999999999997</v>
      </c>
      <c r="C37" s="4">
        <v>6588</v>
      </c>
      <c r="D37" s="4">
        <v>1.61</v>
      </c>
      <c r="E37" s="4">
        <v>17326</v>
      </c>
      <c r="F37" s="4">
        <v>68</v>
      </c>
      <c r="G37" s="4">
        <v>28990</v>
      </c>
      <c r="H37" s="5">
        <f>Table37[[#This Row],[MATCHES]]*Table37[[#This Row],[WIN RATE]]</f>
        <v>3106.2419999999997</v>
      </c>
      <c r="I37" s="5">
        <f>Table37[[#This Row],[MATCHES]]-Table37[[#This Row],[Number of wins]]</f>
        <v>3481.7580000000003</v>
      </c>
      <c r="J37" s="4" t="str">
        <f>VLOOKUP(Table37[[#This Row],[GOD]],' Raw Data for God Type'!A:I,2)</f>
        <v>Celtic</v>
      </c>
      <c r="K37" s="4" t="str">
        <f>VLOOKUP(Table37[[#This Row],[GOD]],' Raw Data for God Type'!A:I,5)</f>
        <v>Warrior</v>
      </c>
      <c r="L37" s="4" t="str">
        <f>VLOOKUP(Table37[[#This Row],[GOD]],' Raw Data for God Type'!A:I,6)</f>
        <v>Average</v>
      </c>
      <c r="M37" s="4" t="str">
        <f>VLOOKUP(Table37[[#This Row],[GOD]],' Raw Data for God Type'!A:I,3)</f>
        <v>Melee</v>
      </c>
      <c r="N37" s="4" t="str">
        <f>VLOOKUP(Table37[[#This Row],[GOD]],' Raw Data for God Type'!A:I,4)</f>
        <v>Physical</v>
      </c>
      <c r="O37" s="11">
        <f>VLOOKUP(Table37[[#This Row],[GOD]],' Raw Data for God Type'!$A$2:$I$121,9)</f>
        <v>42906</v>
      </c>
      <c r="Q37">
        <v>0</v>
      </c>
      <c r="R37">
        <f t="shared" si="0"/>
        <v>0</v>
      </c>
      <c r="S37">
        <f t="shared" si="1"/>
        <v>1</v>
      </c>
      <c r="T37">
        <f t="shared" si="2"/>
        <v>0</v>
      </c>
      <c r="U37">
        <f t="shared" si="3"/>
        <v>0</v>
      </c>
      <c r="V37">
        <f t="shared" si="4"/>
        <v>0</v>
      </c>
    </row>
    <row r="38" spans="1:22" x14ac:dyDescent="0.25">
      <c r="A38" s="4" t="s">
        <v>78</v>
      </c>
      <c r="B38" s="4">
        <v>0.51700000000000002</v>
      </c>
      <c r="C38" s="4">
        <v>7528</v>
      </c>
      <c r="D38" s="4">
        <v>1.64</v>
      </c>
      <c r="E38" s="4">
        <v>16982</v>
      </c>
      <c r="F38" s="4">
        <v>667</v>
      </c>
      <c r="G38" s="4">
        <v>8268</v>
      </c>
      <c r="H38" s="5">
        <f>Table37[[#This Row],[MATCHES]]*Table37[[#This Row],[WIN RATE]]</f>
        <v>3891.9760000000001</v>
      </c>
      <c r="I38" s="5">
        <f>Table37[[#This Row],[MATCHES]]-Table37[[#This Row],[Number of wins]]</f>
        <v>3636.0239999999999</v>
      </c>
      <c r="J38" s="4" t="str">
        <f>VLOOKUP(Table37[[#This Row],[GOD]],' Raw Data for God Type'!A:I,2)</f>
        <v>Roman</v>
      </c>
      <c r="K38" s="4" t="str">
        <f>VLOOKUP(Table37[[#This Row],[GOD]],' Raw Data for God Type'!A:I,5)</f>
        <v>Hunter</v>
      </c>
      <c r="L38" s="4" t="str">
        <f>VLOOKUP(Table37[[#This Row],[GOD]],' Raw Data for God Type'!A:I,6)</f>
        <v>Easy</v>
      </c>
      <c r="M38" s="4" t="str">
        <f>VLOOKUP(Table37[[#This Row],[GOD]],' Raw Data for God Type'!A:I,3)</f>
        <v>Ranged</v>
      </c>
      <c r="N38" s="4" t="str">
        <f>VLOOKUP(Table37[[#This Row],[GOD]],' Raw Data for God Type'!A:I,4)</f>
        <v>Physical</v>
      </c>
      <c r="O38" s="11">
        <f>VLOOKUP(Table37[[#This Row],[GOD]],' Raw Data for God Type'!$A$2:$I$121,9)</f>
        <v>41138</v>
      </c>
      <c r="Q38">
        <v>0</v>
      </c>
      <c r="R38">
        <f t="shared" si="0"/>
        <v>1</v>
      </c>
      <c r="S38">
        <f t="shared" si="1"/>
        <v>0</v>
      </c>
      <c r="T38">
        <f t="shared" si="2"/>
        <v>0</v>
      </c>
      <c r="U38">
        <f t="shared" si="3"/>
        <v>0</v>
      </c>
      <c r="V38">
        <f t="shared" si="4"/>
        <v>0</v>
      </c>
    </row>
    <row r="39" spans="1:22" x14ac:dyDescent="0.25">
      <c r="A39" s="4" t="s">
        <v>179</v>
      </c>
      <c r="B39" s="4">
        <v>0.48249999999999998</v>
      </c>
      <c r="C39" s="4">
        <v>7187</v>
      </c>
      <c r="D39" s="4">
        <v>1.82</v>
      </c>
      <c r="E39" s="4">
        <v>16597</v>
      </c>
      <c r="F39" s="4">
        <v>21</v>
      </c>
      <c r="G39" s="4">
        <v>10919</v>
      </c>
      <c r="H39" s="5">
        <f>Table37[[#This Row],[MATCHES]]*Table37[[#This Row],[WIN RATE]]</f>
        <v>3467.7275</v>
      </c>
      <c r="I39" s="5">
        <f>Table37[[#This Row],[MATCHES]]-Table37[[#This Row],[Number of wins]]</f>
        <v>3719.2725</v>
      </c>
      <c r="J39" s="4" t="str">
        <f>VLOOKUP(Table37[[#This Row],[GOD]],' Raw Data for God Type'!A:I,2)</f>
        <v>Chinese</v>
      </c>
      <c r="K39" s="4" t="str">
        <f>VLOOKUP(Table37[[#This Row],[GOD]],' Raw Data for God Type'!A:I,5)</f>
        <v>Assassin</v>
      </c>
      <c r="L39" s="4" t="str">
        <f>VLOOKUP(Table37[[#This Row],[GOD]],' Raw Data for God Type'!A:I,6)</f>
        <v>Average</v>
      </c>
      <c r="M39" s="4" t="str">
        <f>VLOOKUP(Table37[[#This Row],[GOD]],' Raw Data for God Type'!A:I,3)</f>
        <v>Melee</v>
      </c>
      <c r="N39" s="4" t="str">
        <f>VLOOKUP(Table37[[#This Row],[GOD]],' Raw Data for God Type'!A:I,4)</f>
        <v>Physical</v>
      </c>
      <c r="O39" s="11">
        <f>VLOOKUP(Table37[[#This Row],[GOD]],' Raw Data for God Type'!$A$2:$I$121,9)</f>
        <v>42879</v>
      </c>
      <c r="Q39">
        <v>0</v>
      </c>
      <c r="R39">
        <f t="shared" si="0"/>
        <v>0</v>
      </c>
      <c r="S39">
        <f t="shared" si="1"/>
        <v>0</v>
      </c>
      <c r="T39">
        <f t="shared" si="2"/>
        <v>0</v>
      </c>
      <c r="U39">
        <f t="shared" si="3"/>
        <v>0</v>
      </c>
      <c r="V39">
        <f t="shared" si="4"/>
        <v>1</v>
      </c>
    </row>
    <row r="40" spans="1:22" x14ac:dyDescent="0.25">
      <c r="A40" s="4" t="s">
        <v>115</v>
      </c>
      <c r="B40" s="4">
        <v>0.50780000000000003</v>
      </c>
      <c r="C40" s="4">
        <v>12245</v>
      </c>
      <c r="D40" s="4">
        <v>1.64</v>
      </c>
      <c r="E40" s="4">
        <v>17345</v>
      </c>
      <c r="F40" s="4">
        <v>55</v>
      </c>
      <c r="G40" s="4">
        <v>8627</v>
      </c>
      <c r="H40" s="5">
        <f>Table37[[#This Row],[MATCHES]]*Table37[[#This Row],[WIN RATE]]</f>
        <v>6218.0110000000004</v>
      </c>
      <c r="I40" s="5">
        <f>Table37[[#This Row],[MATCHES]]-Table37[[#This Row],[Number of wins]]</f>
        <v>6026.9889999999996</v>
      </c>
      <c r="J40" s="4" t="str">
        <f>VLOOKUP(Table37[[#This Row],[GOD]],' Raw Data for God Type'!A:I,2)</f>
        <v>Japanese</v>
      </c>
      <c r="K40" s="4" t="str">
        <f>VLOOKUP(Table37[[#This Row],[GOD]],' Raw Data for God Type'!A:I,5)</f>
        <v>Hunter</v>
      </c>
      <c r="L40" s="4" t="str">
        <f>VLOOKUP(Table37[[#This Row],[GOD]],' Raw Data for God Type'!A:I,6)</f>
        <v>Average</v>
      </c>
      <c r="M40" s="4" t="str">
        <f>VLOOKUP(Table37[[#This Row],[GOD]],' Raw Data for God Type'!A:I,3)</f>
        <v>Ranged</v>
      </c>
      <c r="N40" s="4" t="str">
        <f>VLOOKUP(Table37[[#This Row],[GOD]],' Raw Data for God Type'!A:I,4)</f>
        <v>Physical</v>
      </c>
      <c r="O40" s="11">
        <f>VLOOKUP(Table37[[#This Row],[GOD]],' Raw Data for God Type'!$A$2:$I$121,9)</f>
        <v>44180</v>
      </c>
      <c r="Q40">
        <v>0</v>
      </c>
      <c r="R40">
        <f t="shared" si="0"/>
        <v>1</v>
      </c>
      <c r="S40">
        <f t="shared" si="1"/>
        <v>0</v>
      </c>
      <c r="T40">
        <f t="shared" si="2"/>
        <v>0</v>
      </c>
      <c r="U40">
        <f t="shared" si="3"/>
        <v>0</v>
      </c>
      <c r="V40">
        <f t="shared" si="4"/>
        <v>0</v>
      </c>
    </row>
    <row r="41" spans="1:22" x14ac:dyDescent="0.25">
      <c r="A41" s="4" t="s">
        <v>30</v>
      </c>
      <c r="B41" s="4">
        <v>0.54159999999999997</v>
      </c>
      <c r="C41" s="4">
        <v>4130</v>
      </c>
      <c r="D41" s="4">
        <v>1.54</v>
      </c>
      <c r="E41" s="4">
        <v>17615</v>
      </c>
      <c r="F41" s="4">
        <v>101</v>
      </c>
      <c r="G41" s="4">
        <v>5713</v>
      </c>
      <c r="H41" s="5">
        <f>Table37[[#This Row],[MATCHES]]*Table37[[#This Row],[WIN RATE]]</f>
        <v>2236.808</v>
      </c>
      <c r="I41" s="5">
        <f>Table37[[#This Row],[MATCHES]]-Table37[[#This Row],[Number of wins]]</f>
        <v>1893.192</v>
      </c>
      <c r="J41" s="4" t="str">
        <f>VLOOKUP(Table37[[#This Row],[GOD]],' Raw Data for God Type'!A:I,2)</f>
        <v>Roman</v>
      </c>
      <c r="K41" s="4" t="str">
        <f>VLOOKUP(Table37[[#This Row],[GOD]],' Raw Data for God Type'!A:I,5)</f>
        <v>Mage</v>
      </c>
      <c r="L41" s="4" t="str">
        <f>VLOOKUP(Table37[[#This Row],[GOD]],' Raw Data for God Type'!A:I,6)</f>
        <v>Average</v>
      </c>
      <c r="M41" s="4" t="str">
        <f>VLOOKUP(Table37[[#This Row],[GOD]],' Raw Data for God Type'!A:I,3)</f>
        <v>Ranged</v>
      </c>
      <c r="N41" s="4" t="str">
        <f>VLOOKUP(Table37[[#This Row],[GOD]],' Raw Data for God Type'!A:I,4)</f>
        <v>Magical</v>
      </c>
      <c r="O41" s="11">
        <f>VLOOKUP(Table37[[#This Row],[GOD]],' Raw Data for God Type'!$A$2:$I$121,9)</f>
        <v>43045</v>
      </c>
      <c r="Q41">
        <v>0</v>
      </c>
      <c r="R41">
        <f t="shared" si="0"/>
        <v>0</v>
      </c>
      <c r="S41">
        <f t="shared" si="1"/>
        <v>0</v>
      </c>
      <c r="T41">
        <f t="shared" si="2"/>
        <v>1</v>
      </c>
      <c r="U41">
        <f t="shared" si="3"/>
        <v>0</v>
      </c>
      <c r="V41">
        <f t="shared" si="4"/>
        <v>0</v>
      </c>
    </row>
    <row r="42" spans="1:22" x14ac:dyDescent="0.25">
      <c r="A42" s="4" t="s">
        <v>86</v>
      </c>
      <c r="B42" s="4">
        <v>0.51429999999999998</v>
      </c>
      <c r="C42" s="4">
        <v>24173</v>
      </c>
      <c r="D42" s="4">
        <v>1.67</v>
      </c>
      <c r="E42" s="4">
        <v>16447</v>
      </c>
      <c r="F42" s="4">
        <v>103</v>
      </c>
      <c r="G42" s="4">
        <v>29722</v>
      </c>
      <c r="H42" s="5">
        <f>Table37[[#This Row],[MATCHES]]*Table37[[#This Row],[WIN RATE]]</f>
        <v>12432.1739</v>
      </c>
      <c r="I42" s="5">
        <f>Table37[[#This Row],[MATCHES]]-Table37[[#This Row],[Number of wins]]</f>
        <v>11740.8261</v>
      </c>
      <c r="J42" s="4" t="str">
        <f>VLOOKUP(Table37[[#This Row],[GOD]],' Raw Data for God Type'!A:I,2)</f>
        <v>Chinese</v>
      </c>
      <c r="K42" s="4" t="str">
        <f>VLOOKUP(Table37[[#This Row],[GOD]],' Raw Data for God Type'!A:I,5)</f>
        <v>Warrior</v>
      </c>
      <c r="L42" s="4" t="str">
        <f>VLOOKUP(Table37[[#This Row],[GOD]],' Raw Data for God Type'!A:I,6)</f>
        <v>Average</v>
      </c>
      <c r="M42" s="4" t="str">
        <f>VLOOKUP(Table37[[#This Row],[GOD]],' Raw Data for God Type'!A:I,3)</f>
        <v>Melee</v>
      </c>
      <c r="N42" s="4" t="str">
        <f>VLOOKUP(Table37[[#This Row],[GOD]],' Raw Data for God Type'!A:I,4)</f>
        <v>Physical</v>
      </c>
      <c r="O42" s="11">
        <f>VLOOKUP(Table37[[#This Row],[GOD]],' Raw Data for God Type'!$A$2:$I$121,9)</f>
        <v>42557</v>
      </c>
      <c r="Q42">
        <v>0</v>
      </c>
      <c r="R42">
        <f t="shared" si="0"/>
        <v>0</v>
      </c>
      <c r="S42">
        <f t="shared" si="1"/>
        <v>1</v>
      </c>
      <c r="T42">
        <f t="shared" si="2"/>
        <v>0</v>
      </c>
      <c r="U42">
        <f t="shared" si="3"/>
        <v>0</v>
      </c>
      <c r="V42">
        <f t="shared" si="4"/>
        <v>0</v>
      </c>
    </row>
    <row r="43" spans="1:22" x14ac:dyDescent="0.25">
      <c r="A43" s="4" t="s">
        <v>14</v>
      </c>
      <c r="B43" s="4">
        <v>0.5474</v>
      </c>
      <c r="C43" s="4">
        <v>5855</v>
      </c>
      <c r="D43" s="4">
        <v>1.58</v>
      </c>
      <c r="E43" s="4">
        <v>14564</v>
      </c>
      <c r="F43" s="4">
        <v>1457</v>
      </c>
      <c r="G43" s="4">
        <v>13921</v>
      </c>
      <c r="H43" s="5">
        <f>Table37[[#This Row],[MATCHES]]*Table37[[#This Row],[WIN RATE]]</f>
        <v>3205.027</v>
      </c>
      <c r="I43" s="5">
        <f>Table37[[#This Row],[MATCHES]]-Table37[[#This Row],[Number of wins]]</f>
        <v>2649.973</v>
      </c>
      <c r="J43" s="4" t="str">
        <f>VLOOKUP(Table37[[#This Row],[GOD]],' Raw Data for God Type'!A:I,2)</f>
        <v>Egyptian</v>
      </c>
      <c r="K43" s="4" t="str">
        <f>VLOOKUP(Table37[[#This Row],[GOD]],' Raw Data for God Type'!A:I,5)</f>
        <v>Mage</v>
      </c>
      <c r="L43" s="4" t="str">
        <f>VLOOKUP(Table37[[#This Row],[GOD]],' Raw Data for God Type'!A:I,6)</f>
        <v>Average</v>
      </c>
      <c r="M43" s="4" t="str">
        <f>VLOOKUP(Table37[[#This Row],[GOD]],' Raw Data for God Type'!A:I,3)</f>
        <v>Ranged</v>
      </c>
      <c r="N43" s="4" t="str">
        <f>VLOOKUP(Table37[[#This Row],[GOD]],' Raw Data for God Type'!A:I,4)</f>
        <v>Magical</v>
      </c>
      <c r="O43" s="11">
        <f>VLOOKUP(Table37[[#This Row],[GOD]],' Raw Data for God Type'!$A$2:$I$121,9)</f>
        <v>41409</v>
      </c>
      <c r="Q43">
        <v>0</v>
      </c>
      <c r="R43">
        <f t="shared" si="0"/>
        <v>0</v>
      </c>
      <c r="S43">
        <f t="shared" si="1"/>
        <v>0</v>
      </c>
      <c r="T43">
        <f t="shared" si="2"/>
        <v>1</v>
      </c>
      <c r="U43">
        <f t="shared" si="3"/>
        <v>0</v>
      </c>
      <c r="V43">
        <f t="shared" si="4"/>
        <v>0</v>
      </c>
    </row>
    <row r="44" spans="1:22" x14ac:dyDescent="0.25">
      <c r="A44" s="4" t="s">
        <v>163</v>
      </c>
      <c r="B44" s="4">
        <v>0.49490000000000001</v>
      </c>
      <c r="C44" s="4">
        <v>5300</v>
      </c>
      <c r="D44" s="4">
        <v>2.0699999999999998</v>
      </c>
      <c r="E44" s="4">
        <v>10036</v>
      </c>
      <c r="F44" s="4">
        <v>592</v>
      </c>
      <c r="G44" s="4">
        <v>34687</v>
      </c>
      <c r="H44" s="5">
        <f>Table37[[#This Row],[MATCHES]]*Table37[[#This Row],[WIN RATE]]</f>
        <v>2622.9700000000003</v>
      </c>
      <c r="I44" s="5">
        <f>Table37[[#This Row],[MATCHES]]-Table37[[#This Row],[Number of wins]]</f>
        <v>2677.0299999999997</v>
      </c>
      <c r="J44" s="4" t="str">
        <f>VLOOKUP(Table37[[#This Row],[GOD]],' Raw Data for God Type'!A:I,2)</f>
        <v>Norse</v>
      </c>
      <c r="K44" s="4" t="str">
        <f>VLOOKUP(Table37[[#This Row],[GOD]],' Raw Data for God Type'!A:I,5)</f>
        <v>Guardian</v>
      </c>
      <c r="L44" s="4" t="str">
        <f>VLOOKUP(Table37[[#This Row],[GOD]],' Raw Data for God Type'!A:I,6)</f>
        <v>Average</v>
      </c>
      <c r="M44" s="4" t="str">
        <f>VLOOKUP(Table37[[#This Row],[GOD]],' Raw Data for God Type'!A:I,3)</f>
        <v>Melee</v>
      </c>
      <c r="N44" s="4" t="str">
        <f>VLOOKUP(Table37[[#This Row],[GOD]],' Raw Data for God Type'!A:I,4)</f>
        <v>Magical</v>
      </c>
      <c r="O44" s="11">
        <f>VLOOKUP(Table37[[#This Row],[GOD]],' Raw Data for God Type'!$A$2:$I$121,9)</f>
        <v>42528</v>
      </c>
      <c r="Q44">
        <v>0</v>
      </c>
      <c r="R44">
        <f t="shared" si="0"/>
        <v>0</v>
      </c>
      <c r="S44">
        <f t="shared" si="1"/>
        <v>0</v>
      </c>
      <c r="T44">
        <f t="shared" si="2"/>
        <v>0</v>
      </c>
      <c r="U44">
        <f t="shared" si="3"/>
        <v>1</v>
      </c>
      <c r="V44">
        <f t="shared" si="4"/>
        <v>0</v>
      </c>
    </row>
    <row r="45" spans="1:22" x14ac:dyDescent="0.25">
      <c r="A45" s="4" t="s">
        <v>197</v>
      </c>
      <c r="B45" s="4">
        <v>0.47649999999999998</v>
      </c>
      <c r="C45" s="4">
        <v>11133</v>
      </c>
      <c r="D45" s="4">
        <v>1.82</v>
      </c>
      <c r="E45" s="4">
        <v>14647</v>
      </c>
      <c r="F45" s="4">
        <v>85</v>
      </c>
      <c r="G45" s="4">
        <v>17058</v>
      </c>
      <c r="H45" s="5">
        <f>Table37[[#This Row],[MATCHES]]*Table37[[#This Row],[WIN RATE]]</f>
        <v>5304.8744999999999</v>
      </c>
      <c r="I45" s="5">
        <f>Table37[[#This Row],[MATCHES]]-Table37[[#This Row],[Number of wins]]</f>
        <v>5828.1255000000001</v>
      </c>
      <c r="J45" s="4" t="str">
        <f>VLOOKUP(Table37[[#This Row],[GOD]],' Raw Data for God Type'!A:I,2)</f>
        <v>Norse</v>
      </c>
      <c r="K45" s="4" t="str">
        <f>VLOOKUP(Table37[[#This Row],[GOD]],' Raw Data for God Type'!A:I,5)</f>
        <v>Assassin</v>
      </c>
      <c r="L45" s="4" t="str">
        <f>VLOOKUP(Table37[[#This Row],[GOD]],' Raw Data for God Type'!A:I,6)</f>
        <v>Average</v>
      </c>
      <c r="M45" s="4" t="str">
        <f>VLOOKUP(Table37[[#This Row],[GOD]],' Raw Data for God Type'!A:I,3)</f>
        <v>Melee</v>
      </c>
      <c r="N45" s="4" t="str">
        <f>VLOOKUP(Table37[[#This Row],[GOD]],' Raw Data for God Type'!A:I,4)</f>
        <v>Physical</v>
      </c>
      <c r="O45" s="11">
        <f>VLOOKUP(Table37[[#This Row],[GOD]],' Raw Data for God Type'!$A$2:$I$121,9)</f>
        <v>41395</v>
      </c>
      <c r="Q45">
        <v>0</v>
      </c>
      <c r="R45">
        <f t="shared" si="0"/>
        <v>0</v>
      </c>
      <c r="S45">
        <f t="shared" si="1"/>
        <v>0</v>
      </c>
      <c r="T45">
        <f t="shared" si="2"/>
        <v>0</v>
      </c>
      <c r="U45">
        <f t="shared" si="3"/>
        <v>0</v>
      </c>
      <c r="V45">
        <f t="shared" si="4"/>
        <v>1</v>
      </c>
    </row>
    <row r="46" spans="1:22" x14ac:dyDescent="0.25">
      <c r="A46" s="4" t="s">
        <v>121</v>
      </c>
      <c r="B46" s="4">
        <v>0.50700000000000001</v>
      </c>
      <c r="C46" s="4">
        <v>3505</v>
      </c>
      <c r="D46" s="4">
        <v>1.55</v>
      </c>
      <c r="E46" s="4">
        <v>18002</v>
      </c>
      <c r="F46" s="4">
        <v>40</v>
      </c>
      <c r="G46" s="4">
        <v>9761</v>
      </c>
      <c r="H46" s="5">
        <f>Table37[[#This Row],[MATCHES]]*Table37[[#This Row],[WIN RATE]]</f>
        <v>1777.0350000000001</v>
      </c>
      <c r="I46" s="5">
        <f>Table37[[#This Row],[MATCHES]]-Table37[[#This Row],[Number of wins]]</f>
        <v>1727.9649999999999</v>
      </c>
      <c r="J46" s="4" t="str">
        <f>VLOOKUP(Table37[[#This Row],[GOD]],' Raw Data for God Type'!A:I,2)</f>
        <v>Norse</v>
      </c>
      <c r="K46" s="4" t="str">
        <f>VLOOKUP(Table37[[#This Row],[GOD]],' Raw Data for God Type'!A:I,5)</f>
        <v>Mage</v>
      </c>
      <c r="L46" s="4" t="str">
        <f>VLOOKUP(Table37[[#This Row],[GOD]],' Raw Data for God Type'!A:I,6)</f>
        <v>Average</v>
      </c>
      <c r="M46" s="4" t="str">
        <f>VLOOKUP(Table37[[#This Row],[GOD]],' Raw Data for God Type'!A:I,3)</f>
        <v>Melee</v>
      </c>
      <c r="N46" s="4" t="str">
        <f>VLOOKUP(Table37[[#This Row],[GOD]],' Raw Data for God Type'!A:I,4)</f>
        <v>Magical</v>
      </c>
      <c r="O46" s="11">
        <f>VLOOKUP(Table37[[#This Row],[GOD]],' Raw Data for God Type'!$A$2:$I$121,9)</f>
        <v>41200</v>
      </c>
      <c r="Q46">
        <v>0</v>
      </c>
      <c r="R46">
        <f t="shared" si="0"/>
        <v>0</v>
      </c>
      <c r="S46">
        <f t="shared" si="1"/>
        <v>0</v>
      </c>
      <c r="T46">
        <f t="shared" si="2"/>
        <v>1</v>
      </c>
      <c r="U46">
        <f t="shared" si="3"/>
        <v>0</v>
      </c>
      <c r="V46">
        <f t="shared" si="4"/>
        <v>0</v>
      </c>
    </row>
    <row r="47" spans="1:22" x14ac:dyDescent="0.25">
      <c r="A47" s="4" t="s">
        <v>134</v>
      </c>
      <c r="B47" s="4">
        <v>0.50449999999999995</v>
      </c>
      <c r="C47" s="4">
        <v>7381</v>
      </c>
      <c r="D47" s="4">
        <v>1.65</v>
      </c>
      <c r="E47" s="4">
        <v>10035</v>
      </c>
      <c r="F47" s="4">
        <v>669</v>
      </c>
      <c r="G47" s="4">
        <v>31995</v>
      </c>
      <c r="H47" s="5">
        <f>Table37[[#This Row],[MATCHES]]*Table37[[#This Row],[WIN RATE]]</f>
        <v>3723.7144999999996</v>
      </c>
      <c r="I47" s="5">
        <f>Table37[[#This Row],[MATCHES]]-Table37[[#This Row],[Number of wins]]</f>
        <v>3657.2855000000004</v>
      </c>
      <c r="J47" s="4" t="str">
        <f>VLOOKUP(Table37[[#This Row],[GOD]],' Raw Data for God Type'!A:I,2)</f>
        <v>Hindu</v>
      </c>
      <c r="K47" s="4" t="str">
        <f>VLOOKUP(Table37[[#This Row],[GOD]],' Raw Data for God Type'!A:I,5)</f>
        <v>Guardian</v>
      </c>
      <c r="L47" s="4" t="str">
        <f>VLOOKUP(Table37[[#This Row],[GOD]],' Raw Data for God Type'!A:I,6)</f>
        <v>Average</v>
      </c>
      <c r="M47" s="4" t="str">
        <f>VLOOKUP(Table37[[#This Row],[GOD]],' Raw Data for God Type'!A:I,3)</f>
        <v>Melee</v>
      </c>
      <c r="N47" s="4" t="str">
        <f>VLOOKUP(Table37[[#This Row],[GOD]],' Raw Data for God Type'!A:I,4)</f>
        <v>Magical</v>
      </c>
      <c r="O47" s="11">
        <f>VLOOKUP(Table37[[#This Row],[GOD]],' Raw Data for God Type'!$A$2:$I$121,9)</f>
        <v>42850</v>
      </c>
      <c r="Q47">
        <v>0</v>
      </c>
      <c r="R47">
        <f t="shared" si="0"/>
        <v>0</v>
      </c>
      <c r="S47">
        <f t="shared" si="1"/>
        <v>0</v>
      </c>
      <c r="T47">
        <f t="shared" si="2"/>
        <v>0</v>
      </c>
      <c r="U47">
        <f t="shared" si="3"/>
        <v>1</v>
      </c>
      <c r="V47">
        <f t="shared" si="4"/>
        <v>0</v>
      </c>
    </row>
    <row r="48" spans="1:22" x14ac:dyDescent="0.25">
      <c r="A48" s="4" t="s">
        <v>72</v>
      </c>
      <c r="B48" s="4">
        <v>0.52339999999999998</v>
      </c>
      <c r="C48" s="4">
        <v>9503</v>
      </c>
      <c r="D48" s="4">
        <v>1.86</v>
      </c>
      <c r="E48" s="4">
        <v>11329</v>
      </c>
      <c r="F48" s="4">
        <v>519</v>
      </c>
      <c r="G48" s="4">
        <v>30054</v>
      </c>
      <c r="H48" s="5">
        <f>Table37[[#This Row],[MATCHES]]*Table37[[#This Row],[WIN RATE]]</f>
        <v>4973.8701999999994</v>
      </c>
      <c r="I48" s="5">
        <f>Table37[[#This Row],[MATCHES]]-Table37[[#This Row],[Number of wins]]</f>
        <v>4529.1298000000006</v>
      </c>
      <c r="J48" s="4" t="str">
        <f>VLOOKUP(Table37[[#This Row],[GOD]],' Raw Data for God Type'!A:I,2)</f>
        <v>Egyptian</v>
      </c>
      <c r="K48" s="4" t="str">
        <f>VLOOKUP(Table37[[#This Row],[GOD]],' Raw Data for God Type'!A:I,5)</f>
        <v>Guardian</v>
      </c>
      <c r="L48" s="4" t="str">
        <f>VLOOKUP(Table37[[#This Row],[GOD]],' Raw Data for God Type'!A:I,6)</f>
        <v>Average</v>
      </c>
      <c r="M48" s="4" t="str">
        <f>VLOOKUP(Table37[[#This Row],[GOD]],' Raw Data for God Type'!A:I,3)</f>
        <v>Melee</v>
      </c>
      <c r="N48" s="4" t="str">
        <f>VLOOKUP(Table37[[#This Row],[GOD]],' Raw Data for God Type'!A:I,4)</f>
        <v>Magical</v>
      </c>
      <c r="O48" s="11">
        <f>VLOOKUP(Table37[[#This Row],[GOD]],' Raw Data for God Type'!$A$2:$I$121,9)</f>
        <v>41655</v>
      </c>
      <c r="Q48">
        <v>0</v>
      </c>
      <c r="R48">
        <f t="shared" si="0"/>
        <v>0</v>
      </c>
      <c r="S48">
        <f t="shared" si="1"/>
        <v>0</v>
      </c>
      <c r="T48">
        <f t="shared" si="2"/>
        <v>0</v>
      </c>
      <c r="U48">
        <f t="shared" si="3"/>
        <v>1</v>
      </c>
      <c r="V48">
        <f t="shared" si="4"/>
        <v>0</v>
      </c>
    </row>
    <row r="49" spans="1:22" x14ac:dyDescent="0.25">
      <c r="A49" s="4" t="s">
        <v>165</v>
      </c>
      <c r="B49" s="4">
        <v>0.49480000000000002</v>
      </c>
      <c r="C49" s="4">
        <v>17456</v>
      </c>
      <c r="D49" s="4">
        <v>1.7</v>
      </c>
      <c r="E49" s="4">
        <v>15877</v>
      </c>
      <c r="F49" s="4">
        <v>243</v>
      </c>
      <c r="G49" s="4">
        <v>25162</v>
      </c>
      <c r="H49" s="5">
        <f>Table37[[#This Row],[MATCHES]]*Table37[[#This Row],[WIN RATE]]</f>
        <v>8637.2288000000008</v>
      </c>
      <c r="I49" s="5">
        <f>Table37[[#This Row],[MATCHES]]-Table37[[#This Row],[Number of wins]]</f>
        <v>8818.7711999999992</v>
      </c>
      <c r="J49" s="4" t="str">
        <f>VLOOKUP(Table37[[#This Row],[GOD]],' Raw Data for God Type'!A:I,2)</f>
        <v>Babylonian</v>
      </c>
      <c r="K49" s="4" t="str">
        <f>VLOOKUP(Table37[[#This Row],[GOD]],' Raw Data for God Type'!A:I,5)</f>
        <v>Warrior</v>
      </c>
      <c r="L49" s="4" t="str">
        <f>VLOOKUP(Table37[[#This Row],[GOD]],' Raw Data for God Type'!A:I,6)</f>
        <v>Average</v>
      </c>
      <c r="M49" s="4" t="str">
        <f>VLOOKUP(Table37[[#This Row],[GOD]],' Raw Data for God Type'!A:I,3)</f>
        <v>Melee</v>
      </c>
      <c r="N49" s="4" t="str">
        <f>VLOOKUP(Table37[[#This Row],[GOD]],' Raw Data for God Type'!A:I,4)</f>
        <v>Physical</v>
      </c>
      <c r="O49" s="11">
        <f>VLOOKUP(Table37[[#This Row],[GOD]],' Raw Data for God Type'!$A$2:$I$121,9)</f>
        <v>44306</v>
      </c>
      <c r="Q49">
        <v>0</v>
      </c>
      <c r="R49">
        <f t="shared" si="0"/>
        <v>0</v>
      </c>
      <c r="S49">
        <f t="shared" si="1"/>
        <v>1</v>
      </c>
      <c r="T49">
        <f t="shared" si="2"/>
        <v>0</v>
      </c>
      <c r="U49">
        <f t="shared" si="3"/>
        <v>0</v>
      </c>
      <c r="V49">
        <f t="shared" si="4"/>
        <v>0</v>
      </c>
    </row>
    <row r="50" spans="1:22" x14ac:dyDescent="0.25">
      <c r="A50" s="4" t="s">
        <v>92</v>
      </c>
      <c r="B50" s="4">
        <v>0.51280000000000003</v>
      </c>
      <c r="C50" s="4">
        <v>5864</v>
      </c>
      <c r="D50" s="4">
        <v>1.83</v>
      </c>
      <c r="E50" s="4">
        <v>13606</v>
      </c>
      <c r="F50" s="4">
        <v>2399</v>
      </c>
      <c r="G50" s="4">
        <v>31218</v>
      </c>
      <c r="H50" s="5">
        <f>Table37[[#This Row],[MATCHES]]*Table37[[#This Row],[WIN RATE]]</f>
        <v>3007.0592000000001</v>
      </c>
      <c r="I50" s="5">
        <f>Table37[[#This Row],[MATCHES]]-Table37[[#This Row],[Number of wins]]</f>
        <v>2856.9407999999999</v>
      </c>
      <c r="J50" s="4" t="str">
        <f>VLOOKUP(Table37[[#This Row],[GOD]],' Raw Data for God Type'!A:I,2)</f>
        <v>Chinese</v>
      </c>
      <c r="K50" s="4" t="str">
        <f>VLOOKUP(Table37[[#This Row],[GOD]],' Raw Data for God Type'!A:I,5)</f>
        <v>Warrior</v>
      </c>
      <c r="L50" s="4" t="str">
        <f>VLOOKUP(Table37[[#This Row],[GOD]],' Raw Data for God Type'!A:I,6)</f>
        <v>Average</v>
      </c>
      <c r="M50" s="4" t="str">
        <f>VLOOKUP(Table37[[#This Row],[GOD]],' Raw Data for God Type'!A:I,3)</f>
        <v>Melee</v>
      </c>
      <c r="N50" s="4" t="str">
        <f>VLOOKUP(Table37[[#This Row],[GOD]],' Raw Data for God Type'!A:I,4)</f>
        <v>Physical</v>
      </c>
      <c r="O50" s="11">
        <f>VLOOKUP(Table37[[#This Row],[GOD]],' Raw Data for God Type'!$A$2:$I$121,9)</f>
        <v>41089</v>
      </c>
      <c r="Q50">
        <v>0</v>
      </c>
      <c r="R50">
        <f t="shared" si="0"/>
        <v>0</v>
      </c>
      <c r="S50">
        <f t="shared" si="1"/>
        <v>1</v>
      </c>
      <c r="T50">
        <f t="shared" si="2"/>
        <v>0</v>
      </c>
      <c r="U50">
        <f t="shared" si="3"/>
        <v>0</v>
      </c>
      <c r="V50">
        <f t="shared" si="4"/>
        <v>0</v>
      </c>
    </row>
    <row r="51" spans="1:22" x14ac:dyDescent="0.25">
      <c r="A51" s="4" t="s">
        <v>203</v>
      </c>
      <c r="B51" s="4">
        <v>0.47260000000000002</v>
      </c>
      <c r="C51" s="4">
        <v>7260</v>
      </c>
      <c r="D51" s="4">
        <v>1.6</v>
      </c>
      <c r="E51" s="4">
        <v>17073</v>
      </c>
      <c r="F51" s="4">
        <v>26</v>
      </c>
      <c r="G51" s="4">
        <v>7586</v>
      </c>
      <c r="H51" s="5">
        <f>Table37[[#This Row],[MATCHES]]*Table37[[#This Row],[WIN RATE]]</f>
        <v>3431.076</v>
      </c>
      <c r="I51" s="5">
        <f>Table37[[#This Row],[MATCHES]]-Table37[[#This Row],[Number of wins]]</f>
        <v>3828.924</v>
      </c>
      <c r="J51" s="4" t="str">
        <f>VLOOKUP(Table37[[#This Row],[GOD]],' Raw Data for God Type'!A:I,2)</f>
        <v>Japanese</v>
      </c>
      <c r="K51" s="4" t="str">
        <f>VLOOKUP(Table37[[#This Row],[GOD]],' Raw Data for God Type'!A:I,5)</f>
        <v>Hunter</v>
      </c>
      <c r="L51" s="4" t="str">
        <f>VLOOKUP(Table37[[#This Row],[GOD]],' Raw Data for God Type'!A:I,6)</f>
        <v>Easy</v>
      </c>
      <c r="M51" s="4" t="str">
        <f>VLOOKUP(Table37[[#This Row],[GOD]],' Raw Data for God Type'!A:I,3)</f>
        <v>Ranged</v>
      </c>
      <c r="N51" s="4" t="str">
        <f>VLOOKUP(Table37[[#This Row],[GOD]],' Raw Data for God Type'!A:I,4)</f>
        <v>Physical</v>
      </c>
      <c r="O51" s="11">
        <f>VLOOKUP(Table37[[#This Row],[GOD]],' Raw Data for God Type'!$A$2:$I$121,9)</f>
        <v>42991</v>
      </c>
      <c r="Q51">
        <v>0</v>
      </c>
      <c r="R51">
        <f t="shared" si="0"/>
        <v>1</v>
      </c>
      <c r="S51">
        <f t="shared" si="1"/>
        <v>0</v>
      </c>
      <c r="T51">
        <f t="shared" si="2"/>
        <v>0</v>
      </c>
      <c r="U51">
        <f t="shared" si="3"/>
        <v>0</v>
      </c>
      <c r="V51">
        <f t="shared" si="4"/>
        <v>0</v>
      </c>
    </row>
    <row r="52" spans="1:22" x14ac:dyDescent="0.25">
      <c r="A52" s="4" t="s">
        <v>26</v>
      </c>
      <c r="B52" s="4">
        <v>0.54190000000000005</v>
      </c>
      <c r="C52" s="4">
        <v>7462</v>
      </c>
      <c r="D52" s="4">
        <v>1.83</v>
      </c>
      <c r="E52" s="4">
        <v>18149</v>
      </c>
      <c r="F52" s="4">
        <v>757</v>
      </c>
      <c r="G52" s="4">
        <v>17732</v>
      </c>
      <c r="H52" s="5">
        <f>Table37[[#This Row],[MATCHES]]*Table37[[#This Row],[WIN RATE]]</f>
        <v>4043.6578000000004</v>
      </c>
      <c r="I52" s="5">
        <f>Table37[[#This Row],[MATCHES]]-Table37[[#This Row],[Number of wins]]</f>
        <v>3418.3421999999996</v>
      </c>
      <c r="J52" s="4" t="str">
        <f>VLOOKUP(Table37[[#This Row],[GOD]],' Raw Data for God Type'!A:I,2)</f>
        <v>Greek</v>
      </c>
      <c r="K52" s="4" t="str">
        <f>VLOOKUP(Table37[[#This Row],[GOD]],' Raw Data for God Type'!A:I,5)</f>
        <v>Mage</v>
      </c>
      <c r="L52" s="4" t="str">
        <f>VLOOKUP(Table37[[#This Row],[GOD]],' Raw Data for God Type'!A:I,6)</f>
        <v>Easy</v>
      </c>
      <c r="M52" s="4" t="str">
        <f>VLOOKUP(Table37[[#This Row],[GOD]],' Raw Data for God Type'!A:I,3)</f>
        <v>Ranged</v>
      </c>
      <c r="N52" s="4" t="str">
        <f>VLOOKUP(Table37[[#This Row],[GOD]],' Raw Data for God Type'!A:I,4)</f>
        <v>Magical</v>
      </c>
      <c r="O52" s="11">
        <f>VLOOKUP(Table37[[#This Row],[GOD]],' Raw Data for God Type'!$A$2:$I$121,9)</f>
        <v>41060</v>
      </c>
      <c r="Q52">
        <v>0</v>
      </c>
      <c r="R52">
        <f t="shared" si="0"/>
        <v>0</v>
      </c>
      <c r="S52">
        <f t="shared" si="1"/>
        <v>0</v>
      </c>
      <c r="T52">
        <f t="shared" si="2"/>
        <v>1</v>
      </c>
      <c r="U52">
        <f t="shared" si="3"/>
        <v>0</v>
      </c>
      <c r="V52">
        <f t="shared" si="4"/>
        <v>0</v>
      </c>
    </row>
    <row r="53" spans="1:22" x14ac:dyDescent="0.25">
      <c r="A53" s="4" t="s">
        <v>183</v>
      </c>
      <c r="B53" s="4">
        <v>0.4798</v>
      </c>
      <c r="C53" s="4">
        <v>5181</v>
      </c>
      <c r="D53" s="4">
        <v>1.56</v>
      </c>
      <c r="E53" s="4">
        <v>17833</v>
      </c>
      <c r="F53" s="4">
        <v>90</v>
      </c>
      <c r="G53" s="4">
        <v>6851</v>
      </c>
      <c r="H53" s="5">
        <f>Table37[[#This Row],[MATCHES]]*Table37[[#This Row],[WIN RATE]]</f>
        <v>2485.8438000000001</v>
      </c>
      <c r="I53" s="5">
        <f>Table37[[#This Row],[MATCHES]]-Table37[[#This Row],[Number of wins]]</f>
        <v>2695.1561999999999</v>
      </c>
      <c r="J53" s="4" t="str">
        <f>VLOOKUP(Table37[[#This Row],[GOD]],' Raw Data for God Type'!A:I,2)</f>
        <v>Chinese</v>
      </c>
      <c r="K53" s="4" t="str">
        <f>VLOOKUP(Table37[[#This Row],[GOD]],' Raw Data for God Type'!A:I,5)</f>
        <v>Mage</v>
      </c>
      <c r="L53" s="4" t="str">
        <f>VLOOKUP(Table37[[#This Row],[GOD]],' Raw Data for God Type'!A:I,6)</f>
        <v>Easy</v>
      </c>
      <c r="M53" s="4" t="str">
        <f>VLOOKUP(Table37[[#This Row],[GOD]],' Raw Data for God Type'!A:I,3)</f>
        <v>Ranged</v>
      </c>
      <c r="N53" s="4" t="str">
        <f>VLOOKUP(Table37[[#This Row],[GOD]],' Raw Data for God Type'!A:I,4)</f>
        <v>Magical</v>
      </c>
      <c r="O53" s="11">
        <f>VLOOKUP(Table37[[#This Row],[GOD]],' Raw Data for God Type'!$A$2:$I$121,9)</f>
        <v>41060</v>
      </c>
      <c r="Q53">
        <v>0</v>
      </c>
      <c r="R53">
        <f t="shared" si="0"/>
        <v>0</v>
      </c>
      <c r="S53">
        <f t="shared" si="1"/>
        <v>0</v>
      </c>
      <c r="T53">
        <f t="shared" si="2"/>
        <v>1</v>
      </c>
      <c r="U53">
        <f t="shared" si="3"/>
        <v>0</v>
      </c>
      <c r="V53">
        <f t="shared" si="4"/>
        <v>0</v>
      </c>
    </row>
    <row r="54" spans="1:22" x14ac:dyDescent="0.25">
      <c r="A54" s="4" t="s">
        <v>205</v>
      </c>
      <c r="B54" s="4">
        <v>0.47220000000000001</v>
      </c>
      <c r="C54" s="4">
        <v>8787</v>
      </c>
      <c r="D54" s="4">
        <v>1.45</v>
      </c>
      <c r="E54" s="4">
        <v>17692</v>
      </c>
      <c r="F54" s="4">
        <v>28</v>
      </c>
      <c r="G54" s="4">
        <v>8755</v>
      </c>
      <c r="H54" s="5">
        <f>Table37[[#This Row],[MATCHES]]*Table37[[#This Row],[WIN RATE]]</f>
        <v>4149.2214000000004</v>
      </c>
      <c r="I54" s="5">
        <f>Table37[[#This Row],[MATCHES]]-Table37[[#This Row],[Number of wins]]</f>
        <v>4637.7785999999996</v>
      </c>
      <c r="J54" s="4" t="str">
        <f>VLOOKUP(Table37[[#This Row],[GOD]],' Raw Data for God Type'!A:I,2)</f>
        <v>Norse</v>
      </c>
      <c r="K54" s="4" t="str">
        <f>VLOOKUP(Table37[[#This Row],[GOD]],' Raw Data for God Type'!A:I,5)</f>
        <v>Hunter</v>
      </c>
      <c r="L54" s="4" t="str">
        <f>VLOOKUP(Table37[[#This Row],[GOD]],' Raw Data for God Type'!A:I,6)</f>
        <v>Hard</v>
      </c>
      <c r="M54" s="4" t="str">
        <f>VLOOKUP(Table37[[#This Row],[GOD]],' Raw Data for God Type'!A:I,3)</f>
        <v>Ranged</v>
      </c>
      <c r="N54" s="4" t="str">
        <f>VLOOKUP(Table37[[#This Row],[GOD]],' Raw Data for God Type'!A:I,4)</f>
        <v>Physical</v>
      </c>
      <c r="O54" s="11">
        <f>VLOOKUP(Table37[[#This Row],[GOD]],' Raw Data for God Type'!$A$2:$I$121,9)</f>
        <v>43810</v>
      </c>
      <c r="Q54">
        <v>0</v>
      </c>
      <c r="R54">
        <f t="shared" si="0"/>
        <v>1</v>
      </c>
      <c r="S54">
        <f t="shared" si="1"/>
        <v>0</v>
      </c>
      <c r="T54">
        <f t="shared" si="2"/>
        <v>0</v>
      </c>
      <c r="U54">
        <f t="shared" si="3"/>
        <v>0</v>
      </c>
      <c r="V54">
        <f t="shared" si="4"/>
        <v>0</v>
      </c>
    </row>
    <row r="55" spans="1:22" x14ac:dyDescent="0.25">
      <c r="A55" s="4" t="s">
        <v>235</v>
      </c>
      <c r="B55" s="4">
        <v>0.45400000000000001</v>
      </c>
      <c r="C55" s="4">
        <v>4015</v>
      </c>
      <c r="D55" s="4">
        <v>1.27</v>
      </c>
      <c r="E55" s="4">
        <v>13802</v>
      </c>
      <c r="F55" s="4">
        <v>5199</v>
      </c>
      <c r="G55" s="4">
        <v>11514</v>
      </c>
      <c r="H55" s="5">
        <f>Table37[[#This Row],[MATCHES]]*Table37[[#This Row],[WIN RATE]]</f>
        <v>1822.81</v>
      </c>
      <c r="I55" s="5">
        <f>Table37[[#This Row],[MATCHES]]-Table37[[#This Row],[Number of wins]]</f>
        <v>2192.19</v>
      </c>
      <c r="J55" s="4" t="str">
        <f>VLOOKUP(Table37[[#This Row],[GOD]],' Raw Data for God Type'!A:I,2)</f>
        <v>Norse</v>
      </c>
      <c r="K55" s="4" t="str">
        <f>VLOOKUP(Table37[[#This Row],[GOD]],' Raw Data for God Type'!A:I,5)</f>
        <v>Mage</v>
      </c>
      <c r="L55" s="4" t="str">
        <f>VLOOKUP(Table37[[#This Row],[GOD]],' Raw Data for God Type'!A:I,6)</f>
        <v>Hard</v>
      </c>
      <c r="M55" s="4" t="str">
        <f>VLOOKUP(Table37[[#This Row],[GOD]],' Raw Data for God Type'!A:I,3)</f>
        <v>Ranged</v>
      </c>
      <c r="N55" s="4" t="str">
        <f>VLOOKUP(Table37[[#This Row],[GOD]],' Raw Data for God Type'!A:I,4)</f>
        <v>Magical</v>
      </c>
      <c r="O55" s="11">
        <f>VLOOKUP(Table37[[#This Row],[GOD]],' Raw Data for God Type'!$A$2:$I$121,9)</f>
        <v>41060</v>
      </c>
      <c r="Q55">
        <v>0</v>
      </c>
      <c r="R55">
        <f t="shared" si="0"/>
        <v>0</v>
      </c>
      <c r="S55">
        <f t="shared" si="1"/>
        <v>0</v>
      </c>
      <c r="T55">
        <f t="shared" si="2"/>
        <v>1</v>
      </c>
      <c r="U55">
        <f t="shared" si="3"/>
        <v>0</v>
      </c>
      <c r="V55">
        <f t="shared" si="4"/>
        <v>0</v>
      </c>
    </row>
    <row r="56" spans="1:22" x14ac:dyDescent="0.25">
      <c r="A56" s="4" t="s">
        <v>54</v>
      </c>
      <c r="B56" s="4">
        <v>0.52890000000000004</v>
      </c>
      <c r="C56" s="4">
        <v>5061</v>
      </c>
      <c r="D56" s="4">
        <v>1.59</v>
      </c>
      <c r="E56" s="4">
        <v>19368</v>
      </c>
      <c r="F56" s="4">
        <v>138</v>
      </c>
      <c r="G56" s="4">
        <v>6386</v>
      </c>
      <c r="H56" s="5">
        <f>Table37[[#This Row],[MATCHES]]*Table37[[#This Row],[WIN RATE]]</f>
        <v>2676.7629000000002</v>
      </c>
      <c r="I56" s="5">
        <f>Table37[[#This Row],[MATCHES]]-Table37[[#This Row],[Number of wins]]</f>
        <v>2384.2370999999998</v>
      </c>
      <c r="J56" s="4" t="str">
        <f>VLOOKUP(Table37[[#This Row],[GOD]],' Raw Data for God Type'!A:I,2)</f>
        <v>Greek</v>
      </c>
      <c r="K56" s="4" t="str">
        <f>VLOOKUP(Table37[[#This Row],[GOD]],' Raw Data for God Type'!A:I,5)</f>
        <v>Mage</v>
      </c>
      <c r="L56" s="4" t="str">
        <f>VLOOKUP(Table37[[#This Row],[GOD]],' Raw Data for God Type'!A:I,6)</f>
        <v>Average</v>
      </c>
      <c r="M56" s="4" t="str">
        <f>VLOOKUP(Table37[[#This Row],[GOD]],' Raw Data for God Type'!A:I,3)</f>
        <v>Ranged</v>
      </c>
      <c r="N56" s="4" t="str">
        <f>VLOOKUP(Table37[[#This Row],[GOD]],' Raw Data for God Type'!A:I,4)</f>
        <v>Magical</v>
      </c>
      <c r="O56" s="11">
        <f>VLOOKUP(Table37[[#This Row],[GOD]],' Raw Data for God Type'!$A$2:$I$121,9)</f>
        <v>43388</v>
      </c>
      <c r="Q56">
        <v>0</v>
      </c>
      <c r="R56">
        <f t="shared" si="0"/>
        <v>0</v>
      </c>
      <c r="S56">
        <f t="shared" si="1"/>
        <v>0</v>
      </c>
      <c r="T56">
        <f t="shared" si="2"/>
        <v>1</v>
      </c>
      <c r="U56">
        <f t="shared" si="3"/>
        <v>0</v>
      </c>
      <c r="V56">
        <f t="shared" si="4"/>
        <v>0</v>
      </c>
    </row>
    <row r="57" spans="1:22" x14ac:dyDescent="0.25">
      <c r="A57" s="4" t="s">
        <v>239</v>
      </c>
      <c r="B57" s="4">
        <v>0.439</v>
      </c>
      <c r="C57" s="4">
        <v>6915</v>
      </c>
      <c r="D57" s="4">
        <v>1.86</v>
      </c>
      <c r="E57" s="4">
        <v>13795</v>
      </c>
      <c r="F57" s="4">
        <v>192</v>
      </c>
      <c r="G57" s="4">
        <v>32687</v>
      </c>
      <c r="H57" s="5">
        <f>Table37[[#This Row],[MATCHES]]*Table37[[#This Row],[WIN RATE]]</f>
        <v>3035.6849999999999</v>
      </c>
      <c r="I57" s="5">
        <f>Table37[[#This Row],[MATCHES]]-Table37[[#This Row],[Number of wins]]</f>
        <v>3879.3150000000001</v>
      </c>
      <c r="J57" s="4" t="str">
        <f>VLOOKUP(Table37[[#This Row],[GOD]],' Raw Data for God Type'!A:I,2)</f>
        <v>Roman</v>
      </c>
      <c r="K57" s="4" t="str">
        <f>VLOOKUP(Table37[[#This Row],[GOD]],' Raw Data for God Type'!A:I,5)</f>
        <v>Warrior</v>
      </c>
      <c r="L57" s="4" t="str">
        <f>VLOOKUP(Table37[[#This Row],[GOD]],' Raw Data for God Type'!A:I,6)</f>
        <v>Easy</v>
      </c>
      <c r="M57" s="4" t="str">
        <f>VLOOKUP(Table37[[#This Row],[GOD]],' Raw Data for God Type'!A:I,3)</f>
        <v>Melee</v>
      </c>
      <c r="N57" s="4" t="str">
        <f>VLOOKUP(Table37[[#This Row],[GOD]],' Raw Data for God Type'!A:I,4)</f>
        <v>Physical</v>
      </c>
      <c r="O57" s="11">
        <f>VLOOKUP(Table37[[#This Row],[GOD]],' Raw Data for God Type'!$A$2:$I$121,9)</f>
        <v>41283</v>
      </c>
      <c r="Q57">
        <v>0</v>
      </c>
      <c r="R57">
        <f t="shared" si="0"/>
        <v>0</v>
      </c>
      <c r="S57">
        <f t="shared" si="1"/>
        <v>1</v>
      </c>
      <c r="T57">
        <f t="shared" si="2"/>
        <v>0</v>
      </c>
      <c r="U57">
        <f t="shared" si="3"/>
        <v>0</v>
      </c>
      <c r="V57">
        <f t="shared" si="4"/>
        <v>0</v>
      </c>
    </row>
    <row r="58" spans="1:22" x14ac:dyDescent="0.25">
      <c r="A58" s="4" t="s">
        <v>82</v>
      </c>
      <c r="B58" s="4">
        <v>0.5151</v>
      </c>
      <c r="C58" s="4">
        <v>12381</v>
      </c>
      <c r="D58" s="4">
        <v>1.98</v>
      </c>
      <c r="E58" s="4">
        <v>11321</v>
      </c>
      <c r="F58" s="4">
        <v>2968</v>
      </c>
      <c r="G58" s="4">
        <v>28676</v>
      </c>
      <c r="H58" s="5">
        <f>Table37[[#This Row],[MATCHES]]*Table37[[#This Row],[WIN RATE]]</f>
        <v>6377.4530999999997</v>
      </c>
      <c r="I58" s="5">
        <f>Table37[[#This Row],[MATCHES]]-Table37[[#This Row],[Number of wins]]</f>
        <v>6003.5469000000003</v>
      </c>
      <c r="J58" s="4" t="str">
        <f>VLOOKUP(Table37[[#This Row],[GOD]],' Raw Data for God Type'!A:I,2)</f>
        <v>Egyptian</v>
      </c>
      <c r="K58" s="4" t="str">
        <f>VLOOKUP(Table37[[#This Row],[GOD]],' Raw Data for God Type'!A:I,5)</f>
        <v>Warrior</v>
      </c>
      <c r="L58" s="4" t="str">
        <f>VLOOKUP(Table37[[#This Row],[GOD]],' Raw Data for God Type'!A:I,6)</f>
        <v>Average</v>
      </c>
      <c r="M58" s="4" t="str">
        <f>VLOOKUP(Table37[[#This Row],[GOD]],' Raw Data for God Type'!A:I,3)</f>
        <v>Melee</v>
      </c>
      <c r="N58" s="4" t="str">
        <f>VLOOKUP(Table37[[#This Row],[GOD]],' Raw Data for God Type'!A:I,4)</f>
        <v>Physical</v>
      </c>
      <c r="O58" s="11">
        <f>VLOOKUP(Table37[[#This Row],[GOD]],' Raw Data for God Type'!$A$2:$I$121,9)</f>
        <v>43585</v>
      </c>
      <c r="Q58">
        <v>0</v>
      </c>
      <c r="R58">
        <f t="shared" si="0"/>
        <v>0</v>
      </c>
      <c r="S58">
        <f t="shared" si="1"/>
        <v>1</v>
      </c>
      <c r="T58">
        <f t="shared" si="2"/>
        <v>0</v>
      </c>
      <c r="U58">
        <f t="shared" si="3"/>
        <v>0</v>
      </c>
      <c r="V58">
        <f t="shared" si="4"/>
        <v>0</v>
      </c>
    </row>
    <row r="59" spans="1:22" x14ac:dyDescent="0.25">
      <c r="A59" s="4" t="s">
        <v>173</v>
      </c>
      <c r="B59" s="4">
        <v>0.48870000000000002</v>
      </c>
      <c r="C59" s="4">
        <v>10754</v>
      </c>
      <c r="D59" s="4">
        <v>1.73</v>
      </c>
      <c r="E59" s="4">
        <v>17017</v>
      </c>
      <c r="F59" s="4">
        <v>26</v>
      </c>
      <c r="G59" s="4">
        <v>7988</v>
      </c>
      <c r="H59" s="5">
        <f>Table37[[#This Row],[MATCHES]]*Table37[[#This Row],[WIN RATE]]</f>
        <v>5255.4798000000001</v>
      </c>
      <c r="I59" s="5">
        <f>Table37[[#This Row],[MATCHES]]-Table37[[#This Row],[Number of wins]]</f>
        <v>5498.5201999999999</v>
      </c>
      <c r="J59" s="4" t="str">
        <f>VLOOKUP(Table37[[#This Row],[GOD]],' Raw Data for God Type'!A:I,2)</f>
        <v>Chinese</v>
      </c>
      <c r="K59" s="4" t="str">
        <f>VLOOKUP(Table37[[#This Row],[GOD]],' Raw Data for God Type'!A:I,5)</f>
        <v>Hunter</v>
      </c>
      <c r="L59" s="4" t="str">
        <f>VLOOKUP(Table37[[#This Row],[GOD]],' Raw Data for God Type'!A:I,6)</f>
        <v>Hard</v>
      </c>
      <c r="M59" s="4" t="str">
        <f>VLOOKUP(Table37[[#This Row],[GOD]],' Raw Data for God Type'!A:I,3)</f>
        <v>Ranged</v>
      </c>
      <c r="N59" s="4" t="str">
        <f>VLOOKUP(Table37[[#This Row],[GOD]],' Raw Data for God Type'!A:I,4)</f>
        <v>Physical</v>
      </c>
      <c r="O59" s="11">
        <f>VLOOKUP(Table37[[#This Row],[GOD]],' Raw Data for God Type'!$A$2:$I$121,9)</f>
        <v>42018</v>
      </c>
      <c r="Q59">
        <v>0</v>
      </c>
      <c r="R59">
        <f t="shared" si="0"/>
        <v>1</v>
      </c>
      <c r="S59">
        <f t="shared" si="1"/>
        <v>0</v>
      </c>
      <c r="T59">
        <f t="shared" si="2"/>
        <v>0</v>
      </c>
      <c r="U59">
        <f t="shared" si="3"/>
        <v>0</v>
      </c>
      <c r="V59">
        <f t="shared" si="4"/>
        <v>0</v>
      </c>
    </row>
    <row r="60" spans="1:22" x14ac:dyDescent="0.25">
      <c r="A60" s="4" t="s">
        <v>187</v>
      </c>
      <c r="B60" s="4">
        <v>0.47849999999999998</v>
      </c>
      <c r="C60" s="4">
        <v>4541</v>
      </c>
      <c r="D60" s="4">
        <v>1.75</v>
      </c>
      <c r="E60" s="4">
        <v>16072</v>
      </c>
      <c r="F60" s="4">
        <v>21</v>
      </c>
      <c r="G60" s="4">
        <v>10364</v>
      </c>
      <c r="H60" s="5">
        <f>Table37[[#This Row],[MATCHES]]*Table37[[#This Row],[WIN RATE]]</f>
        <v>2172.8685</v>
      </c>
      <c r="I60" s="5">
        <f>Table37[[#This Row],[MATCHES]]-Table37[[#This Row],[Number of wins]]</f>
        <v>2368.1315</v>
      </c>
      <c r="J60" s="4" t="str">
        <f>VLOOKUP(Table37[[#This Row],[GOD]],' Raw Data for God Type'!A:I,2)</f>
        <v>Maya</v>
      </c>
      <c r="K60" s="4" t="str">
        <f>VLOOKUP(Table37[[#This Row],[GOD]],' Raw Data for God Type'!A:I,5)</f>
        <v>Assassin</v>
      </c>
      <c r="L60" s="4" t="str">
        <f>VLOOKUP(Table37[[#This Row],[GOD]],' Raw Data for God Type'!A:I,6)</f>
        <v>Easy</v>
      </c>
      <c r="M60" s="4" t="str">
        <f>VLOOKUP(Table37[[#This Row],[GOD]],' Raw Data for God Type'!A:I,3)</f>
        <v>Melee</v>
      </c>
      <c r="N60" s="4" t="str">
        <f>VLOOKUP(Table37[[#This Row],[GOD]],' Raw Data for God Type'!A:I,4)</f>
        <v>Physical</v>
      </c>
      <c r="O60" s="11">
        <f>VLOOKUP(Table37[[#This Row],[GOD]],' Raw Data for God Type'!$A$2:$I$121,9)</f>
        <v>41060</v>
      </c>
      <c r="Q60">
        <v>0</v>
      </c>
      <c r="R60">
        <f t="shared" si="0"/>
        <v>0</v>
      </c>
      <c r="S60">
        <f t="shared" si="1"/>
        <v>0</v>
      </c>
      <c r="T60">
        <f t="shared" si="2"/>
        <v>0</v>
      </c>
      <c r="U60">
        <f t="shared" si="3"/>
        <v>0</v>
      </c>
      <c r="V60">
        <f t="shared" si="4"/>
        <v>1</v>
      </c>
    </row>
    <row r="61" spans="1:22" x14ac:dyDescent="0.25">
      <c r="A61" s="4" t="s">
        <v>88</v>
      </c>
      <c r="B61" s="4">
        <v>0.51359999999999995</v>
      </c>
      <c r="C61" s="4">
        <v>17735</v>
      </c>
      <c r="D61" s="4">
        <v>1.45</v>
      </c>
      <c r="E61" s="4">
        <v>17249</v>
      </c>
      <c r="F61" s="4">
        <v>38</v>
      </c>
      <c r="G61" s="4">
        <v>7664</v>
      </c>
      <c r="H61" s="5">
        <f>Table37[[#This Row],[MATCHES]]*Table37[[#This Row],[WIN RATE]]</f>
        <v>9108.6959999999999</v>
      </c>
      <c r="I61" s="5">
        <f>Table37[[#This Row],[MATCHES]]-Table37[[#This Row],[Number of wins]]</f>
        <v>8626.3040000000001</v>
      </c>
      <c r="J61" s="4" t="str">
        <f>VLOOKUP(Table37[[#This Row],[GOD]],' Raw Data for God Type'!A:I,2)</f>
        <v>Japanese</v>
      </c>
      <c r="K61" s="4" t="str">
        <f>VLOOKUP(Table37[[#This Row],[GOD]],' Raw Data for God Type'!A:I,5)</f>
        <v>Hunter</v>
      </c>
      <c r="L61" s="4" t="str">
        <f>VLOOKUP(Table37[[#This Row],[GOD]],' Raw Data for God Type'!A:I,6)</f>
        <v>Average</v>
      </c>
      <c r="M61" s="4" t="str">
        <f>VLOOKUP(Table37[[#This Row],[GOD]],' Raw Data for God Type'!A:I,3)</f>
        <v>Ranged</v>
      </c>
      <c r="N61" s="4" t="str">
        <f>VLOOKUP(Table37[[#This Row],[GOD]],' Raw Data for God Type'!A:I,4)</f>
        <v>Physical</v>
      </c>
      <c r="O61" s="11">
        <f>VLOOKUP(Table37[[#This Row],[GOD]],' Raw Data for God Type'!$A$2:$I$121,9)</f>
        <v>42612</v>
      </c>
      <c r="Q61">
        <v>0</v>
      </c>
      <c r="R61">
        <f t="shared" si="0"/>
        <v>1</v>
      </c>
      <c r="S61">
        <f t="shared" si="1"/>
        <v>0</v>
      </c>
      <c r="T61">
        <f t="shared" si="2"/>
        <v>0</v>
      </c>
      <c r="U61">
        <f t="shared" si="3"/>
        <v>0</v>
      </c>
      <c r="V61">
        <f t="shared" si="4"/>
        <v>0</v>
      </c>
    </row>
    <row r="62" spans="1:22" x14ac:dyDescent="0.25">
      <c r="A62" s="4" t="s">
        <v>231</v>
      </c>
      <c r="B62" s="4">
        <v>0.45700000000000002</v>
      </c>
      <c r="C62" s="4">
        <v>8322</v>
      </c>
      <c r="D62" s="4">
        <v>1.51</v>
      </c>
      <c r="E62" s="4">
        <v>16298</v>
      </c>
      <c r="F62" s="4">
        <v>124</v>
      </c>
      <c r="G62" s="4">
        <v>6046</v>
      </c>
      <c r="H62" s="5">
        <f>Table37[[#This Row],[MATCHES]]*Table37[[#This Row],[WIN RATE]]</f>
        <v>3803.154</v>
      </c>
      <c r="I62" s="5">
        <f>Table37[[#This Row],[MATCHES]]-Table37[[#This Row],[Number of wins]]</f>
        <v>4518.8459999999995</v>
      </c>
      <c r="J62" s="4" t="str">
        <f>VLOOKUP(Table37[[#This Row],[GOD]],' Raw Data for God Type'!A:I,2)</f>
        <v>Roman</v>
      </c>
      <c r="K62" s="4" t="str">
        <f>VLOOKUP(Table37[[#This Row],[GOD]],' Raw Data for God Type'!A:I,5)</f>
        <v>Mage</v>
      </c>
      <c r="L62" s="4" t="str">
        <f>VLOOKUP(Table37[[#This Row],[GOD]],' Raw Data for God Type'!A:I,6)</f>
        <v>Average</v>
      </c>
      <c r="M62" s="4" t="str">
        <f>VLOOKUP(Table37[[#This Row],[GOD]],' Raw Data for God Type'!A:I,3)</f>
        <v>Ranged</v>
      </c>
      <c r="N62" s="4" t="str">
        <f>VLOOKUP(Table37[[#This Row],[GOD]],' Raw Data for God Type'!A:I,4)</f>
        <v>Magical</v>
      </c>
      <c r="O62" s="11">
        <f>VLOOKUP(Table37[[#This Row],[GOD]],' Raw Data for God Type'!$A$2:$I$121,9)</f>
        <v>41787</v>
      </c>
      <c r="Q62">
        <v>0</v>
      </c>
      <c r="R62">
        <f t="shared" si="0"/>
        <v>0</v>
      </c>
      <c r="S62">
        <f t="shared" si="1"/>
        <v>0</v>
      </c>
      <c r="T62">
        <f t="shared" si="2"/>
        <v>1</v>
      </c>
      <c r="U62">
        <f t="shared" si="3"/>
        <v>0</v>
      </c>
      <c r="V62">
        <f t="shared" si="4"/>
        <v>0</v>
      </c>
    </row>
    <row r="63" spans="1:22" x14ac:dyDescent="0.25">
      <c r="A63" s="4" t="s">
        <v>74</v>
      </c>
      <c r="B63" s="4">
        <v>0.52339999999999998</v>
      </c>
      <c r="C63" s="4">
        <v>6683</v>
      </c>
      <c r="D63" s="4">
        <v>1.68</v>
      </c>
      <c r="E63" s="4">
        <v>18129</v>
      </c>
      <c r="F63" s="4">
        <v>24</v>
      </c>
      <c r="G63" s="4">
        <v>8318</v>
      </c>
      <c r="H63" s="5">
        <f>Table37[[#This Row],[MATCHES]]*Table37[[#This Row],[WIN RATE]]</f>
        <v>3497.8822</v>
      </c>
      <c r="I63" s="5">
        <f>Table37[[#This Row],[MATCHES]]-Table37[[#This Row],[Number of wins]]</f>
        <v>3185.1178</v>
      </c>
      <c r="J63" s="4" t="str">
        <f>VLOOKUP(Table37[[#This Row],[GOD]],' Raw Data for God Type'!A:I,2)</f>
        <v>Chinese</v>
      </c>
      <c r="K63" s="4" t="str">
        <f>VLOOKUP(Table37[[#This Row],[GOD]],' Raw Data for God Type'!A:I,5)</f>
        <v>Hunter</v>
      </c>
      <c r="L63" s="4" t="str">
        <f>VLOOKUP(Table37[[#This Row],[GOD]],' Raw Data for God Type'!A:I,6)</f>
        <v>Easy</v>
      </c>
      <c r="M63" s="4" t="str">
        <f>VLOOKUP(Table37[[#This Row],[GOD]],' Raw Data for God Type'!A:I,3)</f>
        <v>Ranged</v>
      </c>
      <c r="N63" s="4" t="str">
        <f>VLOOKUP(Table37[[#This Row],[GOD]],' Raw Data for God Type'!A:I,4)</f>
        <v>Physical</v>
      </c>
      <c r="O63" s="11">
        <f>VLOOKUP(Table37[[#This Row],[GOD]],' Raw Data for God Type'!$A$2:$I$121,9)</f>
        <v>42472</v>
      </c>
      <c r="Q63">
        <v>0</v>
      </c>
      <c r="R63">
        <f t="shared" si="0"/>
        <v>1</v>
      </c>
      <c r="S63">
        <f t="shared" si="1"/>
        <v>0</v>
      </c>
      <c r="T63">
        <f t="shared" si="2"/>
        <v>0</v>
      </c>
      <c r="U63">
        <f t="shared" si="3"/>
        <v>0</v>
      </c>
      <c r="V63">
        <f t="shared" si="4"/>
        <v>0</v>
      </c>
    </row>
    <row r="64" spans="1:22" x14ac:dyDescent="0.25">
      <c r="A64" s="4" t="s">
        <v>98</v>
      </c>
      <c r="B64" s="4">
        <v>0.51070000000000004</v>
      </c>
      <c r="C64" s="4">
        <v>11213</v>
      </c>
      <c r="D64" s="4">
        <v>2.0699999999999998</v>
      </c>
      <c r="E64" s="4">
        <v>16710</v>
      </c>
      <c r="F64" s="4">
        <v>311</v>
      </c>
      <c r="G64" s="4">
        <v>30334</v>
      </c>
      <c r="H64" s="5">
        <f>Table37[[#This Row],[MATCHES]]*Table37[[#This Row],[WIN RATE]]</f>
        <v>5726.4791000000005</v>
      </c>
      <c r="I64" s="5">
        <f>Table37[[#This Row],[MATCHES]]-Table37[[#This Row],[Number of wins]]</f>
        <v>5486.5208999999995</v>
      </c>
      <c r="J64" s="4" t="str">
        <f>VLOOKUP(Table37[[#This Row],[GOD]],' Raw Data for God Type'!A:I,2)</f>
        <v>Norse</v>
      </c>
      <c r="K64" s="4" t="str">
        <f>VLOOKUP(Table37[[#This Row],[GOD]],' Raw Data for God Type'!A:I,5)</f>
        <v>Guardian</v>
      </c>
      <c r="L64" s="4" t="str">
        <f>VLOOKUP(Table37[[#This Row],[GOD]],' Raw Data for God Type'!A:I,6)</f>
        <v>Average</v>
      </c>
      <c r="M64" s="4" t="str">
        <f>VLOOKUP(Table37[[#This Row],[GOD]],' Raw Data for God Type'!A:I,3)</f>
        <v>Ranged</v>
      </c>
      <c r="N64" s="4" t="str">
        <f>VLOOKUP(Table37[[#This Row],[GOD]],' Raw Data for God Type'!A:I,4)</f>
        <v>Magical</v>
      </c>
      <c r="O64" s="11">
        <f>VLOOKUP(Table37[[#This Row],[GOD]],' Raw Data for God Type'!$A$2:$I$121,9)</f>
        <v>43529</v>
      </c>
      <c r="Q64">
        <v>0</v>
      </c>
      <c r="R64">
        <f t="shared" si="0"/>
        <v>0</v>
      </c>
      <c r="S64">
        <f t="shared" si="1"/>
        <v>0</v>
      </c>
      <c r="T64">
        <f t="shared" si="2"/>
        <v>0</v>
      </c>
      <c r="U64">
        <f t="shared" si="3"/>
        <v>1</v>
      </c>
      <c r="V64">
        <f t="shared" si="4"/>
        <v>0</v>
      </c>
    </row>
    <row r="65" spans="1:22" x14ac:dyDescent="0.25">
      <c r="A65" s="4" t="s">
        <v>34</v>
      </c>
      <c r="B65" s="4">
        <v>0.53669999999999995</v>
      </c>
      <c r="C65" s="4">
        <v>7738</v>
      </c>
      <c r="D65" s="4">
        <v>2.06</v>
      </c>
      <c r="E65" s="4">
        <v>17167</v>
      </c>
      <c r="F65" s="4">
        <v>22</v>
      </c>
      <c r="G65" s="4">
        <v>13965</v>
      </c>
      <c r="H65" s="5">
        <f>Table37[[#This Row],[MATCHES]]*Table37[[#This Row],[WIN RATE]]</f>
        <v>4152.9845999999998</v>
      </c>
      <c r="I65" s="5">
        <f>Table37[[#This Row],[MATCHES]]-Table37[[#This Row],[Number of wins]]</f>
        <v>3585.0154000000002</v>
      </c>
      <c r="J65" s="4" t="str">
        <f>VLOOKUP(Table37[[#This Row],[GOD]],' Raw Data for God Type'!A:I,2)</f>
        <v>Hindu</v>
      </c>
      <c r="K65" s="4" t="str">
        <f>VLOOKUP(Table37[[#This Row],[GOD]],' Raw Data for God Type'!A:I,5)</f>
        <v>Assassin</v>
      </c>
      <c r="L65" s="4" t="str">
        <f>VLOOKUP(Table37[[#This Row],[GOD]],' Raw Data for God Type'!A:I,6)</f>
        <v>Average</v>
      </c>
      <c r="M65" s="4" t="str">
        <f>VLOOKUP(Table37[[#This Row],[GOD]],' Raw Data for God Type'!A:I,3)</f>
        <v>Melee</v>
      </c>
      <c r="N65" s="4" t="str">
        <f>VLOOKUP(Table37[[#This Row],[GOD]],' Raw Data for God Type'!A:I,4)</f>
        <v>Physical</v>
      </c>
      <c r="O65" s="11">
        <f>VLOOKUP(Table37[[#This Row],[GOD]],' Raw Data for God Type'!$A$2:$I$121,9)</f>
        <v>41060</v>
      </c>
      <c r="Q65">
        <v>0</v>
      </c>
      <c r="R65">
        <f t="shared" si="0"/>
        <v>0</v>
      </c>
      <c r="S65">
        <f t="shared" si="1"/>
        <v>0</v>
      </c>
      <c r="T65">
        <f t="shared" si="2"/>
        <v>0</v>
      </c>
      <c r="U65">
        <f t="shared" si="3"/>
        <v>0</v>
      </c>
      <c r="V65">
        <f t="shared" si="4"/>
        <v>1</v>
      </c>
    </row>
    <row r="66" spans="1:22" x14ac:dyDescent="0.25">
      <c r="A66" s="4" t="s">
        <v>20</v>
      </c>
      <c r="B66" s="4">
        <v>0.54379999999999995</v>
      </c>
      <c r="C66" s="4">
        <v>9112</v>
      </c>
      <c r="D66" s="4">
        <v>1.92</v>
      </c>
      <c r="E66" s="4">
        <v>7412</v>
      </c>
      <c r="F66" s="4">
        <v>674</v>
      </c>
      <c r="G66" s="4">
        <v>28565</v>
      </c>
      <c r="H66" s="5">
        <f>Table37[[#This Row],[MATCHES]]*Table37[[#This Row],[WIN RATE]]</f>
        <v>4955.1055999999999</v>
      </c>
      <c r="I66" s="5">
        <f>Table37[[#This Row],[MATCHES]]-Table37[[#This Row],[Number of wins]]</f>
        <v>4156.8944000000001</v>
      </c>
      <c r="J66" s="4" t="str">
        <f>VLOOKUP(Table37[[#This Row],[GOD]],' Raw Data for God Type'!A:I,2)</f>
        <v>Egyptian</v>
      </c>
      <c r="K66" s="4" t="str">
        <f>VLOOKUP(Table37[[#This Row],[GOD]],' Raw Data for God Type'!A:I,5)</f>
        <v>Guardian</v>
      </c>
      <c r="L66" s="4" t="str">
        <f>VLOOKUP(Table37[[#This Row],[GOD]],' Raw Data for God Type'!A:I,6)</f>
        <v>Average</v>
      </c>
      <c r="M66" s="4" t="str">
        <f>VLOOKUP(Table37[[#This Row],[GOD]],' Raw Data for God Type'!A:I,3)</f>
        <v>Melee</v>
      </c>
      <c r="N66" s="4" t="str">
        <f>VLOOKUP(Table37[[#This Row],[GOD]],' Raw Data for God Type'!A:I,4)</f>
        <v>Magical</v>
      </c>
      <c r="O66" s="11">
        <f>VLOOKUP(Table37[[#This Row],[GOD]],' Raw Data for God Type'!$A$2:$I$121,9)</f>
        <v>42220</v>
      </c>
      <c r="Q66">
        <v>1</v>
      </c>
      <c r="R66">
        <f t="shared" si="0"/>
        <v>0</v>
      </c>
      <c r="S66">
        <f t="shared" si="1"/>
        <v>0</v>
      </c>
      <c r="T66">
        <f t="shared" si="2"/>
        <v>0</v>
      </c>
      <c r="U66">
        <f t="shared" si="3"/>
        <v>1</v>
      </c>
      <c r="V66">
        <f t="shared" si="4"/>
        <v>0</v>
      </c>
    </row>
    <row r="67" spans="1:22" x14ac:dyDescent="0.25">
      <c r="A67" s="4" t="s">
        <v>229</v>
      </c>
      <c r="B67" s="4">
        <v>0.45750000000000002</v>
      </c>
      <c r="C67" s="4">
        <v>10996</v>
      </c>
      <c r="D67" s="4">
        <v>1.49</v>
      </c>
      <c r="E67" s="4">
        <v>16175</v>
      </c>
      <c r="F67" s="4">
        <v>43</v>
      </c>
      <c r="G67" s="4">
        <v>30185</v>
      </c>
      <c r="H67" s="5">
        <f>Table37[[#This Row],[MATCHES]]*Table37[[#This Row],[WIN RATE]]</f>
        <v>5030.67</v>
      </c>
      <c r="I67" s="5">
        <f>Table37[[#This Row],[MATCHES]]-Table37[[#This Row],[Number of wins]]</f>
        <v>5965.33</v>
      </c>
      <c r="J67" s="4" t="str">
        <f>VLOOKUP(Table37[[#This Row],[GOD]],' Raw Data for God Type'!A:I,2)</f>
        <v>Arthurian</v>
      </c>
      <c r="K67" s="4" t="str">
        <f>VLOOKUP(Table37[[#This Row],[GOD]],' Raw Data for God Type'!A:I,5)</f>
        <v>Warrior</v>
      </c>
      <c r="L67" s="4" t="str">
        <f>VLOOKUP(Table37[[#This Row],[GOD]],' Raw Data for God Type'!A:I,6)</f>
        <v>Average</v>
      </c>
      <c r="M67" s="4" t="str">
        <f>VLOOKUP(Table37[[#This Row],[GOD]],' Raw Data for God Type'!A:I,3)</f>
        <v>Melee</v>
      </c>
      <c r="N67" s="4" t="str">
        <f>VLOOKUP(Table37[[#This Row],[GOD]],' Raw Data for God Type'!A:I,4)</f>
        <v>Physical</v>
      </c>
      <c r="O67" s="11">
        <f>VLOOKUP(Table37[[#This Row],[GOD]],' Raw Data for God Type'!$A$2:$I$121,9)</f>
        <v>43472</v>
      </c>
      <c r="Q67">
        <v>0</v>
      </c>
      <c r="R67">
        <f t="shared" ref="R67:R121" si="5">IF($K67=$R$1,1,0)</f>
        <v>0</v>
      </c>
      <c r="S67">
        <f t="shared" ref="S67:S121" si="6">IF($K67=$S$1,1,0)</f>
        <v>1</v>
      </c>
      <c r="T67">
        <f t="shared" ref="T67:T121" si="7">IF($K67=$T$1,1,0)</f>
        <v>0</v>
      </c>
      <c r="U67">
        <f t="shared" ref="U67:U121" si="8">IF($K67=$U$1,1,0)</f>
        <v>0</v>
      </c>
      <c r="V67">
        <f t="shared" ref="V67:V121" si="9">IF($K67=$V$1,1,0)</f>
        <v>0</v>
      </c>
    </row>
    <row r="68" spans="1:22" x14ac:dyDescent="0.25">
      <c r="A68" s="4" t="s">
        <v>68</v>
      </c>
      <c r="B68" s="4">
        <v>0.52569999999999995</v>
      </c>
      <c r="C68" s="4">
        <v>7974</v>
      </c>
      <c r="D68" s="4">
        <v>1.56</v>
      </c>
      <c r="E68" s="4">
        <v>19629</v>
      </c>
      <c r="F68" s="4">
        <v>64</v>
      </c>
      <c r="G68" s="4">
        <v>6932</v>
      </c>
      <c r="H68" s="5">
        <f>Table37[[#This Row],[MATCHES]]*Table37[[#This Row],[WIN RATE]]</f>
        <v>4191.9317999999994</v>
      </c>
      <c r="I68" s="5">
        <f>Table37[[#This Row],[MATCHES]]-Table37[[#This Row],[Number of wins]]</f>
        <v>3782.0682000000006</v>
      </c>
      <c r="J68" s="4" t="str">
        <f>VLOOKUP(Table37[[#This Row],[GOD]],' Raw Data for God Type'!A:I,2)</f>
        <v>Maya</v>
      </c>
      <c r="K68" s="4" t="str">
        <f>VLOOKUP(Table37[[#This Row],[GOD]],' Raw Data for God Type'!A:I,5)</f>
        <v>Mage</v>
      </c>
      <c r="L68" s="4" t="str">
        <f>VLOOKUP(Table37[[#This Row],[GOD]],' Raw Data for God Type'!A:I,6)</f>
        <v>Easy</v>
      </c>
      <c r="M68" s="4" t="str">
        <f>VLOOKUP(Table37[[#This Row],[GOD]],' Raw Data for God Type'!A:I,3)</f>
        <v>Ranged</v>
      </c>
      <c r="N68" s="4" t="str">
        <f>VLOOKUP(Table37[[#This Row],[GOD]],' Raw Data for God Type'!A:I,4)</f>
        <v>Magical</v>
      </c>
      <c r="O68" s="11">
        <f>VLOOKUP(Table37[[#This Row],[GOD]],' Raw Data for God Type'!$A$2:$I$121,9)</f>
        <v>41060</v>
      </c>
      <c r="Q68">
        <v>0</v>
      </c>
      <c r="R68">
        <f t="shared" si="5"/>
        <v>0</v>
      </c>
      <c r="S68">
        <f t="shared" si="6"/>
        <v>0</v>
      </c>
      <c r="T68">
        <f t="shared" si="7"/>
        <v>1</v>
      </c>
      <c r="U68">
        <f t="shared" si="8"/>
        <v>0</v>
      </c>
      <c r="V68">
        <f t="shared" si="9"/>
        <v>0</v>
      </c>
    </row>
    <row r="69" spans="1:22" x14ac:dyDescent="0.25">
      <c r="A69" s="4" t="s">
        <v>151</v>
      </c>
      <c r="B69" s="4">
        <v>0.49819999999999998</v>
      </c>
      <c r="C69" s="4">
        <v>5620</v>
      </c>
      <c r="D69" s="4">
        <v>2</v>
      </c>
      <c r="E69" s="4">
        <v>8070</v>
      </c>
      <c r="F69" s="4">
        <v>531</v>
      </c>
      <c r="G69" s="4">
        <v>32145</v>
      </c>
      <c r="H69" s="5">
        <f>Table37[[#This Row],[MATCHES]]*Table37[[#This Row],[WIN RATE]]</f>
        <v>2799.884</v>
      </c>
      <c r="I69" s="5">
        <f>Table37[[#This Row],[MATCHES]]-Table37[[#This Row],[Number of wins]]</f>
        <v>2820.116</v>
      </c>
      <c r="J69" s="4" t="str">
        <f>VLOOKUP(Table37[[#This Row],[GOD]],' Raw Data for God Type'!A:I,2)</f>
        <v>Hindu</v>
      </c>
      <c r="K69" s="4" t="str">
        <f>VLOOKUP(Table37[[#This Row],[GOD]],' Raw Data for God Type'!A:I,5)</f>
        <v>Guardian</v>
      </c>
      <c r="L69" s="4" t="str">
        <f>VLOOKUP(Table37[[#This Row],[GOD]],' Raw Data for God Type'!A:I,6)</f>
        <v>Easy</v>
      </c>
      <c r="M69" s="4" t="str">
        <f>VLOOKUP(Table37[[#This Row],[GOD]],' Raw Data for God Type'!A:I,3)</f>
        <v>Melee</v>
      </c>
      <c r="N69" s="4" t="str">
        <f>VLOOKUP(Table37[[#This Row],[GOD]],' Raw Data for God Type'!A:I,4)</f>
        <v>Magical</v>
      </c>
      <c r="O69" s="11">
        <f>VLOOKUP(Table37[[#This Row],[GOD]],' Raw Data for God Type'!$A$2:$I$121,9)</f>
        <v>41745</v>
      </c>
      <c r="Q69">
        <v>0</v>
      </c>
      <c r="R69">
        <f t="shared" si="5"/>
        <v>0</v>
      </c>
      <c r="S69">
        <f t="shared" si="6"/>
        <v>0</v>
      </c>
      <c r="T69">
        <f t="shared" si="7"/>
        <v>0</v>
      </c>
      <c r="U69">
        <f t="shared" si="8"/>
        <v>1</v>
      </c>
      <c r="V69">
        <f t="shared" si="9"/>
        <v>0</v>
      </c>
    </row>
    <row r="70" spans="1:22" x14ac:dyDescent="0.25">
      <c r="A70" s="4" t="s">
        <v>189</v>
      </c>
      <c r="B70" s="4">
        <v>0.4783</v>
      </c>
      <c r="C70" s="4">
        <v>3360</v>
      </c>
      <c r="D70" s="4">
        <v>1.9</v>
      </c>
      <c r="E70" s="4">
        <v>12836</v>
      </c>
      <c r="F70" s="4">
        <v>485</v>
      </c>
      <c r="G70" s="4">
        <v>39891</v>
      </c>
      <c r="H70" s="5">
        <f>Table37[[#This Row],[MATCHES]]*Table37[[#This Row],[WIN RATE]]</f>
        <v>1607.088</v>
      </c>
      <c r="I70" s="5">
        <f>Table37[[#This Row],[MATCHES]]-Table37[[#This Row],[Number of wins]]</f>
        <v>1752.912</v>
      </c>
      <c r="J70" s="4" t="str">
        <f>VLOOKUP(Table37[[#This Row],[GOD]],' Raw Data for God Type'!A:I,2)</f>
        <v>Japanese</v>
      </c>
      <c r="K70" s="4" t="str">
        <f>VLOOKUP(Table37[[#This Row],[GOD]],' Raw Data for God Type'!A:I,5)</f>
        <v>Guardian</v>
      </c>
      <c r="L70" s="4" t="str">
        <f>VLOOKUP(Table37[[#This Row],[GOD]],' Raw Data for God Type'!A:I,6)</f>
        <v>Easy</v>
      </c>
      <c r="M70" s="4" t="str">
        <f>VLOOKUP(Table37[[#This Row],[GOD]],' Raw Data for God Type'!A:I,3)</f>
        <v>Melee</v>
      </c>
      <c r="N70" s="4" t="str">
        <f>VLOOKUP(Table37[[#This Row],[GOD]],' Raw Data for God Type'!A:I,4)</f>
        <v>Magical</v>
      </c>
      <c r="O70" s="11">
        <f>VLOOKUP(Table37[[#This Row],[GOD]],' Raw Data for God Type'!$A$2:$I$121,9)</f>
        <v>42780</v>
      </c>
      <c r="Q70">
        <v>0</v>
      </c>
      <c r="R70">
        <f t="shared" si="5"/>
        <v>0</v>
      </c>
      <c r="S70">
        <f t="shared" si="6"/>
        <v>0</v>
      </c>
      <c r="T70">
        <f t="shared" si="7"/>
        <v>0</v>
      </c>
      <c r="U70">
        <f t="shared" si="8"/>
        <v>1</v>
      </c>
      <c r="V70">
        <f t="shared" si="9"/>
        <v>0</v>
      </c>
    </row>
    <row r="71" spans="1:22" x14ac:dyDescent="0.25">
      <c r="A71" s="4" t="s">
        <v>136</v>
      </c>
      <c r="B71" s="4">
        <v>0.50360000000000005</v>
      </c>
      <c r="C71" s="4">
        <v>16443</v>
      </c>
      <c r="D71" s="4">
        <v>1.93</v>
      </c>
      <c r="E71" s="4">
        <v>15985</v>
      </c>
      <c r="F71" s="4">
        <v>22</v>
      </c>
      <c r="G71" s="4">
        <v>10144</v>
      </c>
      <c r="H71" s="5">
        <f>Table37[[#This Row],[MATCHES]]*Table37[[#This Row],[WIN RATE]]</f>
        <v>8280.6948000000011</v>
      </c>
      <c r="I71" s="5">
        <f>Table37[[#This Row],[MATCHES]]-Table37[[#This Row],[Number of wins]]</f>
        <v>8162.3051999999989</v>
      </c>
      <c r="J71" s="4" t="str">
        <f>VLOOKUP(Table37[[#This Row],[GOD]],' Raw Data for God Type'!A:I,2)</f>
        <v>Norse</v>
      </c>
      <c r="K71" s="4" t="str">
        <f>VLOOKUP(Table37[[#This Row],[GOD]],' Raw Data for God Type'!A:I,5)</f>
        <v>Assassin</v>
      </c>
      <c r="L71" s="4" t="str">
        <f>VLOOKUP(Table37[[#This Row],[GOD]],' Raw Data for God Type'!A:I,6)</f>
        <v>Easy</v>
      </c>
      <c r="M71" s="4" t="str">
        <f>VLOOKUP(Table37[[#This Row],[GOD]],' Raw Data for God Type'!A:I,3)</f>
        <v>Melee</v>
      </c>
      <c r="N71" s="4" t="str">
        <f>VLOOKUP(Table37[[#This Row],[GOD]],' Raw Data for God Type'!A:I,4)</f>
        <v>Physical</v>
      </c>
      <c r="O71" s="11">
        <f>VLOOKUP(Table37[[#This Row],[GOD]],' Raw Data for God Type'!$A$2:$I$121,9)</f>
        <v>41215</v>
      </c>
      <c r="Q71">
        <v>0</v>
      </c>
      <c r="R71">
        <f t="shared" si="5"/>
        <v>0</v>
      </c>
      <c r="S71">
        <f t="shared" si="6"/>
        <v>0</v>
      </c>
      <c r="T71">
        <f t="shared" si="7"/>
        <v>0</v>
      </c>
      <c r="U71">
        <f t="shared" si="8"/>
        <v>0</v>
      </c>
      <c r="V71">
        <f t="shared" si="9"/>
        <v>1</v>
      </c>
    </row>
    <row r="72" spans="1:22" x14ac:dyDescent="0.25">
      <c r="A72" s="4" t="s">
        <v>104</v>
      </c>
      <c r="B72" s="4">
        <v>0.50949999999999995</v>
      </c>
      <c r="C72" s="4">
        <v>17003</v>
      </c>
      <c r="D72" s="4">
        <v>1.61</v>
      </c>
      <c r="E72" s="4">
        <v>17212</v>
      </c>
      <c r="F72" s="4">
        <v>42</v>
      </c>
      <c r="G72" s="4">
        <v>8100</v>
      </c>
      <c r="H72" s="5">
        <f>Table37[[#This Row],[MATCHES]]*Table37[[#This Row],[WIN RATE]]</f>
        <v>8663.0284999999985</v>
      </c>
      <c r="I72" s="5">
        <f>Table37[[#This Row],[MATCHES]]-Table37[[#This Row],[Number of wins]]</f>
        <v>8339.9715000000015</v>
      </c>
      <c r="J72" s="4" t="str">
        <f>VLOOKUP(Table37[[#This Row],[GOD]],' Raw Data for God Type'!A:I,2)</f>
        <v>Greek</v>
      </c>
      <c r="K72" s="4" t="str">
        <f>VLOOKUP(Table37[[#This Row],[GOD]],' Raw Data for God Type'!A:I,5)</f>
        <v>Hunter</v>
      </c>
      <c r="L72" s="4" t="str">
        <f>VLOOKUP(Table37[[#This Row],[GOD]],' Raw Data for God Type'!A:I,6)</f>
        <v>Easy</v>
      </c>
      <c r="M72" s="4" t="str">
        <f>VLOOKUP(Table37[[#This Row],[GOD]],' Raw Data for God Type'!A:I,3)</f>
        <v>Ranged</v>
      </c>
      <c r="N72" s="4" t="str">
        <f>VLOOKUP(Table37[[#This Row],[GOD]],' Raw Data for God Type'!A:I,4)</f>
        <v>Physical</v>
      </c>
      <c r="O72" s="11">
        <f>VLOOKUP(Table37[[#This Row],[GOD]],' Raw Data for God Type'!$A$2:$I$121,9)</f>
        <v>42095</v>
      </c>
      <c r="Q72">
        <v>0</v>
      </c>
      <c r="R72">
        <f t="shared" si="5"/>
        <v>1</v>
      </c>
      <c r="S72">
        <f t="shared" si="6"/>
        <v>0</v>
      </c>
      <c r="T72">
        <f t="shared" si="7"/>
        <v>0</v>
      </c>
      <c r="U72">
        <f t="shared" si="8"/>
        <v>0</v>
      </c>
      <c r="V72">
        <f t="shared" si="9"/>
        <v>0</v>
      </c>
    </row>
    <row r="73" spans="1:22" x14ac:dyDescent="0.25">
      <c r="A73" s="4" t="s">
        <v>42</v>
      </c>
      <c r="B73" s="4">
        <v>0.53449999999999998</v>
      </c>
      <c r="C73" s="4">
        <v>10952</v>
      </c>
      <c r="D73" s="4">
        <v>1.89</v>
      </c>
      <c r="E73" s="4">
        <v>15829</v>
      </c>
      <c r="F73" s="4">
        <v>21</v>
      </c>
      <c r="G73" s="4">
        <v>9766</v>
      </c>
      <c r="H73" s="5">
        <f>Table37[[#This Row],[MATCHES]]*Table37[[#This Row],[WIN RATE]]</f>
        <v>5853.8440000000001</v>
      </c>
      <c r="I73" s="5">
        <f>Table37[[#This Row],[MATCHES]]-Table37[[#This Row],[Number of wins]]</f>
        <v>5098.1559999999999</v>
      </c>
      <c r="J73" s="4" t="str">
        <f>VLOOKUP(Table37[[#This Row],[GOD]],' Raw Data for God Type'!A:I,2)</f>
        <v>Roman</v>
      </c>
      <c r="K73" s="4" t="str">
        <f>VLOOKUP(Table37[[#This Row],[GOD]],' Raw Data for God Type'!A:I,5)</f>
        <v>Assassin</v>
      </c>
      <c r="L73" s="4" t="str">
        <f>VLOOKUP(Table37[[#This Row],[GOD]],' Raw Data for God Type'!A:I,6)</f>
        <v>Average</v>
      </c>
      <c r="M73" s="4" t="str">
        <f>VLOOKUP(Table37[[#This Row],[GOD]],' Raw Data for God Type'!A:I,3)</f>
        <v>Melee</v>
      </c>
      <c r="N73" s="4" t="str">
        <f>VLOOKUP(Table37[[#This Row],[GOD]],' Raw Data for God Type'!A:I,4)</f>
        <v>Physical</v>
      </c>
      <c r="O73" s="11">
        <f>VLOOKUP(Table37[[#This Row],[GOD]],' Raw Data for God Type'!$A$2:$I$121,9)</f>
        <v>41549</v>
      </c>
      <c r="Q73">
        <v>0</v>
      </c>
      <c r="R73">
        <f t="shared" si="5"/>
        <v>0</v>
      </c>
      <c r="S73">
        <f t="shared" si="6"/>
        <v>0</v>
      </c>
      <c r="T73">
        <f t="shared" si="7"/>
        <v>0</v>
      </c>
      <c r="U73">
        <f t="shared" si="8"/>
        <v>0</v>
      </c>
      <c r="V73">
        <f t="shared" si="9"/>
        <v>1</v>
      </c>
    </row>
    <row r="74" spans="1:22" x14ac:dyDescent="0.25">
      <c r="A74" s="4" t="s">
        <v>145</v>
      </c>
      <c r="B74" s="4">
        <v>0.5</v>
      </c>
      <c r="C74" s="4">
        <v>6444</v>
      </c>
      <c r="D74" s="4">
        <v>1.54</v>
      </c>
      <c r="E74" s="4">
        <v>18446</v>
      </c>
      <c r="F74" s="4">
        <v>121</v>
      </c>
      <c r="G74" s="4">
        <v>6648</v>
      </c>
      <c r="H74" s="5">
        <f>Table37[[#This Row],[MATCHES]]*Table37[[#This Row],[WIN RATE]]</f>
        <v>3222</v>
      </c>
      <c r="I74" s="5">
        <f>Table37[[#This Row],[MATCHES]]-Table37[[#This Row],[Number of wins]]</f>
        <v>3222</v>
      </c>
      <c r="J74" s="4" t="str">
        <f>VLOOKUP(Table37[[#This Row],[GOD]],' Raw Data for God Type'!A:I,2)</f>
        <v>Arthurian</v>
      </c>
      <c r="K74" s="4" t="str">
        <f>VLOOKUP(Table37[[#This Row],[GOD]],' Raw Data for God Type'!A:I,5)</f>
        <v>Mage</v>
      </c>
      <c r="L74" s="4" t="str">
        <f>VLOOKUP(Table37[[#This Row],[GOD]],' Raw Data for God Type'!A:I,6)</f>
        <v>Hard</v>
      </c>
      <c r="M74" s="4" t="str">
        <f>VLOOKUP(Table37[[#This Row],[GOD]],' Raw Data for God Type'!A:I,3)</f>
        <v>Ranged</v>
      </c>
      <c r="N74" s="4" t="str">
        <f>VLOOKUP(Table37[[#This Row],[GOD]],' Raw Data for God Type'!A:I,4)</f>
        <v>Magical</v>
      </c>
      <c r="O74" s="11">
        <f>VLOOKUP(Table37[[#This Row],[GOD]],' Raw Data for God Type'!$A$2:$I$121,9)</f>
        <v>43507</v>
      </c>
      <c r="Q74">
        <v>0</v>
      </c>
      <c r="R74">
        <f t="shared" si="5"/>
        <v>0</v>
      </c>
      <c r="S74">
        <f t="shared" si="6"/>
        <v>0</v>
      </c>
      <c r="T74">
        <f t="shared" si="7"/>
        <v>1</v>
      </c>
      <c r="U74">
        <f t="shared" si="8"/>
        <v>0</v>
      </c>
      <c r="V74">
        <f t="shared" si="9"/>
        <v>0</v>
      </c>
    </row>
    <row r="75" spans="1:22" x14ac:dyDescent="0.25">
      <c r="A75" s="4" t="s">
        <v>106</v>
      </c>
      <c r="B75" s="4">
        <v>0.50939999999999996</v>
      </c>
      <c r="C75" s="4">
        <v>8477</v>
      </c>
      <c r="D75" s="4">
        <v>1.68</v>
      </c>
      <c r="E75" s="4">
        <v>19491</v>
      </c>
      <c r="F75" s="4">
        <v>187</v>
      </c>
      <c r="G75" s="4">
        <v>8463</v>
      </c>
      <c r="H75" s="5">
        <f>Table37[[#This Row],[MATCHES]]*Table37[[#This Row],[WIN RATE]]</f>
        <v>4318.1837999999998</v>
      </c>
      <c r="I75" s="5">
        <f>Table37[[#This Row],[MATCHES]]-Table37[[#This Row],[Number of wins]]</f>
        <v>4158.8162000000002</v>
      </c>
      <c r="J75" s="4" t="str">
        <f>VLOOKUP(Table37[[#This Row],[GOD]],' Raw Data for God Type'!A:I,2)</f>
        <v>Arthurian</v>
      </c>
      <c r="K75" s="4" t="str">
        <f>VLOOKUP(Table37[[#This Row],[GOD]],' Raw Data for God Type'!A:I,5)</f>
        <v>Mage</v>
      </c>
      <c r="L75" s="4" t="str">
        <f>VLOOKUP(Table37[[#This Row],[GOD]],' Raw Data for God Type'!A:I,6)</f>
        <v>Average</v>
      </c>
      <c r="M75" s="4" t="str">
        <f>VLOOKUP(Table37[[#This Row],[GOD]],' Raw Data for God Type'!A:I,3)</f>
        <v>Ranged</v>
      </c>
      <c r="N75" s="4" t="str">
        <f>VLOOKUP(Table37[[#This Row],[GOD]],' Raw Data for God Type'!A:I,4)</f>
        <v>Magical</v>
      </c>
      <c r="O75" s="11">
        <f>VLOOKUP(Table37[[#This Row],[GOD]],' Raw Data for God Type'!$A$2:$I$121,9)</f>
        <v>44362</v>
      </c>
      <c r="Q75">
        <v>0</v>
      </c>
      <c r="R75">
        <f t="shared" si="5"/>
        <v>0</v>
      </c>
      <c r="S75">
        <f t="shared" si="6"/>
        <v>0</v>
      </c>
      <c r="T75">
        <f t="shared" si="7"/>
        <v>1</v>
      </c>
      <c r="U75">
        <f t="shared" si="8"/>
        <v>0</v>
      </c>
      <c r="V75">
        <f t="shared" si="9"/>
        <v>0</v>
      </c>
    </row>
    <row r="76" spans="1:22" x14ac:dyDescent="0.25">
      <c r="A76" s="4" t="s">
        <v>90</v>
      </c>
      <c r="B76" s="4">
        <v>0.5131</v>
      </c>
      <c r="C76" s="4">
        <v>10592</v>
      </c>
      <c r="D76" s="4">
        <v>1.63</v>
      </c>
      <c r="E76" s="4">
        <v>17497</v>
      </c>
      <c r="F76" s="4">
        <v>104</v>
      </c>
      <c r="G76" s="4">
        <v>29509</v>
      </c>
      <c r="H76" s="5">
        <f>Table37[[#This Row],[MATCHES]]*Table37[[#This Row],[WIN RATE]]</f>
        <v>5434.7551999999996</v>
      </c>
      <c r="I76" s="5">
        <f>Table37[[#This Row],[MATCHES]]-Table37[[#This Row],[Number of wins]]</f>
        <v>5157.2448000000004</v>
      </c>
      <c r="J76" s="4" t="str">
        <f>VLOOKUP(Table37[[#This Row],[GOD]],' Raw Data for God Type'!A:I,2)</f>
        <v>Chinese</v>
      </c>
      <c r="K76" s="4" t="str">
        <f>VLOOKUP(Table37[[#This Row],[GOD]],' Raw Data for God Type'!A:I,5)</f>
        <v>Warrior</v>
      </c>
      <c r="L76" s="4" t="str">
        <f>VLOOKUP(Table37[[#This Row],[GOD]],' Raw Data for God Type'!A:I,6)</f>
        <v>Average</v>
      </c>
      <c r="M76" s="4" t="str">
        <f>VLOOKUP(Table37[[#This Row],[GOD]],' Raw Data for God Type'!A:I,3)</f>
        <v>Melee</v>
      </c>
      <c r="N76" s="4" t="str">
        <f>VLOOKUP(Table37[[#This Row],[GOD]],' Raw Data for God Type'!A:I,4)</f>
        <v>Physical</v>
      </c>
      <c r="O76" s="11">
        <f>VLOOKUP(Table37[[#This Row],[GOD]],' Raw Data for God Type'!$A$2:$I$121,9)</f>
        <v>43886</v>
      </c>
      <c r="Q76">
        <v>0</v>
      </c>
      <c r="R76">
        <f t="shared" si="5"/>
        <v>0</v>
      </c>
      <c r="S76">
        <f t="shared" si="6"/>
        <v>1</v>
      </c>
      <c r="T76">
        <f t="shared" si="7"/>
        <v>0</v>
      </c>
      <c r="U76">
        <f t="shared" si="8"/>
        <v>0</v>
      </c>
      <c r="V76">
        <f t="shared" si="9"/>
        <v>0</v>
      </c>
    </row>
    <row r="77" spans="1:22" x14ac:dyDescent="0.25">
      <c r="A77" s="4" t="s">
        <v>225</v>
      </c>
      <c r="B77" s="4">
        <v>0.46200000000000002</v>
      </c>
      <c r="C77" s="4">
        <v>5941</v>
      </c>
      <c r="D77" s="4">
        <v>1.56</v>
      </c>
      <c r="E77" s="4">
        <v>15041</v>
      </c>
      <c r="F77" s="4">
        <v>71</v>
      </c>
      <c r="G77" s="4">
        <v>13681</v>
      </c>
      <c r="H77" s="5">
        <f>Table37[[#This Row],[MATCHES]]*Table37[[#This Row],[WIN RATE]]</f>
        <v>2744.7420000000002</v>
      </c>
      <c r="I77" s="5">
        <f>Table37[[#This Row],[MATCHES]]-Table37[[#This Row],[Number of wins]]</f>
        <v>3196.2579999999998</v>
      </c>
      <c r="J77" s="4" t="str">
        <f>VLOOKUP(Table37[[#This Row],[GOD]],' Raw Data for God Type'!A:I,2)</f>
        <v>Chinese</v>
      </c>
      <c r="K77" s="4" t="str">
        <f>VLOOKUP(Table37[[#This Row],[GOD]],' Raw Data for God Type'!A:I,5)</f>
        <v>Assassin</v>
      </c>
      <c r="L77" s="4" t="str">
        <f>VLOOKUP(Table37[[#This Row],[GOD]],' Raw Data for God Type'!A:I,6)</f>
        <v>Average</v>
      </c>
      <c r="M77" s="4" t="str">
        <f>VLOOKUP(Table37[[#This Row],[GOD]],' Raw Data for God Type'!A:I,3)</f>
        <v>Melee</v>
      </c>
      <c r="N77" s="4" t="str">
        <f>VLOOKUP(Table37[[#This Row],[GOD]],' Raw Data for God Type'!A:I,4)</f>
        <v>Physical</v>
      </c>
      <c r="O77" s="11">
        <f>VLOOKUP(Table37[[#This Row],[GOD]],' Raw Data for God Type'!$A$2:$I$121,9)</f>
        <v>41381</v>
      </c>
      <c r="Q77">
        <v>0</v>
      </c>
      <c r="R77">
        <f t="shared" si="5"/>
        <v>0</v>
      </c>
      <c r="S77">
        <f t="shared" si="6"/>
        <v>0</v>
      </c>
      <c r="T77">
        <f t="shared" si="7"/>
        <v>0</v>
      </c>
      <c r="U77">
        <f t="shared" si="8"/>
        <v>0</v>
      </c>
      <c r="V77">
        <f t="shared" si="9"/>
        <v>1</v>
      </c>
    </row>
    <row r="78" spans="1:22" x14ac:dyDescent="0.25">
      <c r="A78" s="4" t="s">
        <v>157</v>
      </c>
      <c r="B78" s="4">
        <v>0.49609999999999999</v>
      </c>
      <c r="C78" s="4">
        <v>20277</v>
      </c>
      <c r="D78" s="4">
        <v>1.69</v>
      </c>
      <c r="E78" s="4">
        <v>17705</v>
      </c>
      <c r="F78" s="4">
        <v>55</v>
      </c>
      <c r="G78" s="4">
        <v>7682</v>
      </c>
      <c r="H78" s="5">
        <f>Table37[[#This Row],[MATCHES]]*Table37[[#This Row],[WIN RATE]]</f>
        <v>10059.4197</v>
      </c>
      <c r="I78" s="5">
        <f>Table37[[#This Row],[MATCHES]]-Table37[[#This Row],[Number of wins]]</f>
        <v>10217.5803</v>
      </c>
      <c r="J78" s="4" t="str">
        <f>VLOOKUP(Table37[[#This Row],[GOD]],' Raw Data for God Type'!A:I,2)</f>
        <v>Egyptian</v>
      </c>
      <c r="K78" s="4" t="str">
        <f>VLOOKUP(Table37[[#This Row],[GOD]],' Raw Data for God Type'!A:I,5)</f>
        <v>Hunter</v>
      </c>
      <c r="L78" s="4" t="str">
        <f>VLOOKUP(Table37[[#This Row],[GOD]],' Raw Data for God Type'!A:I,6)</f>
        <v>Easy</v>
      </c>
      <c r="M78" s="4" t="str">
        <f>VLOOKUP(Table37[[#This Row],[GOD]],' Raw Data for God Type'!A:I,3)</f>
        <v>Ranged</v>
      </c>
      <c r="N78" s="4" t="str">
        <f>VLOOKUP(Table37[[#This Row],[GOD]],' Raw Data for God Type'!A:I,4)</f>
        <v>Physical</v>
      </c>
      <c r="O78" s="11">
        <f>VLOOKUP(Table37[[#This Row],[GOD]],' Raw Data for God Type'!$A$2:$I$121,9)</f>
        <v>41318</v>
      </c>
      <c r="Q78">
        <v>0</v>
      </c>
      <c r="R78">
        <f t="shared" si="5"/>
        <v>1</v>
      </c>
      <c r="S78">
        <f t="shared" si="6"/>
        <v>0</v>
      </c>
      <c r="T78">
        <f t="shared" si="7"/>
        <v>0</v>
      </c>
      <c r="U78">
        <f t="shared" si="8"/>
        <v>0</v>
      </c>
      <c r="V78">
        <f t="shared" si="9"/>
        <v>0</v>
      </c>
    </row>
    <row r="79" spans="1:22" x14ac:dyDescent="0.25">
      <c r="A79" s="4" t="s">
        <v>161</v>
      </c>
      <c r="B79" s="4">
        <v>0.495</v>
      </c>
      <c r="C79" s="4">
        <v>8917</v>
      </c>
      <c r="D79" s="4">
        <v>1.96</v>
      </c>
      <c r="E79" s="4">
        <v>16265</v>
      </c>
      <c r="F79" s="4">
        <v>22</v>
      </c>
      <c r="G79" s="4">
        <v>13139</v>
      </c>
      <c r="H79" s="5">
        <f>Table37[[#This Row],[MATCHES]]*Table37[[#This Row],[WIN RATE]]</f>
        <v>4413.915</v>
      </c>
      <c r="I79" s="5">
        <f>Table37[[#This Row],[MATCHES]]-Table37[[#This Row],[Number of wins]]</f>
        <v>4503.085</v>
      </c>
      <c r="J79" s="4" t="str">
        <f>VLOOKUP(Table37[[#This Row],[GOD]],' Raw Data for God Type'!A:I,2)</f>
        <v>Greek</v>
      </c>
      <c r="K79" s="4" t="str">
        <f>VLOOKUP(Table37[[#This Row],[GOD]],' Raw Data for God Type'!A:I,5)</f>
        <v>Assassin</v>
      </c>
      <c r="L79" s="4" t="str">
        <f>VLOOKUP(Table37[[#This Row],[GOD]],' Raw Data for God Type'!A:I,6)</f>
        <v>Average</v>
      </c>
      <c r="M79" s="4" t="str">
        <f>VLOOKUP(Table37[[#This Row],[GOD]],' Raw Data for God Type'!A:I,3)</f>
        <v>Melee</v>
      </c>
      <c r="N79" s="4" t="str">
        <f>VLOOKUP(Table37[[#This Row],[GOD]],' Raw Data for God Type'!A:I,4)</f>
        <v>Physical</v>
      </c>
      <c r="O79" s="11">
        <f>VLOOKUP(Table37[[#This Row],[GOD]],' Raw Data for God Type'!$A$2:$I$121,9)</f>
        <v>41676</v>
      </c>
      <c r="Q79">
        <v>0</v>
      </c>
      <c r="R79">
        <f t="shared" si="5"/>
        <v>0</v>
      </c>
      <c r="S79">
        <f t="shared" si="6"/>
        <v>0</v>
      </c>
      <c r="T79">
        <f t="shared" si="7"/>
        <v>0</v>
      </c>
      <c r="U79">
        <f t="shared" si="8"/>
        <v>0</v>
      </c>
      <c r="V79">
        <f t="shared" si="9"/>
        <v>1</v>
      </c>
    </row>
    <row r="80" spans="1:22" x14ac:dyDescent="0.25">
      <c r="A80" s="4" t="s">
        <v>147</v>
      </c>
      <c r="B80" s="4">
        <v>0.49959999999999999</v>
      </c>
      <c r="C80" s="4">
        <v>5288</v>
      </c>
      <c r="D80" s="4">
        <v>1.68</v>
      </c>
      <c r="E80" s="4">
        <v>14331</v>
      </c>
      <c r="F80" s="4">
        <v>150</v>
      </c>
      <c r="G80" s="4">
        <v>25160</v>
      </c>
      <c r="H80" s="5">
        <f>Table37[[#This Row],[MATCHES]]*Table37[[#This Row],[WIN RATE]]</f>
        <v>2641.8847999999998</v>
      </c>
      <c r="I80" s="5">
        <f>Table37[[#This Row],[MATCHES]]-Table37[[#This Row],[Number of wins]]</f>
        <v>2646.1152000000002</v>
      </c>
      <c r="J80" s="4" t="str">
        <f>VLOOKUP(Table37[[#This Row],[GOD]],' Raw Data for God Type'!A:I,2)</f>
        <v>Greek</v>
      </c>
      <c r="K80" s="4" t="str">
        <f>VLOOKUP(Table37[[#This Row],[GOD]],' Raw Data for God Type'!A:I,5)</f>
        <v>Warrior</v>
      </c>
      <c r="L80" s="4" t="str">
        <f>VLOOKUP(Table37[[#This Row],[GOD]],' Raw Data for God Type'!A:I,6)</f>
        <v>Easy</v>
      </c>
      <c r="M80" s="4" t="str">
        <f>VLOOKUP(Table37[[#This Row],[GOD]],' Raw Data for God Type'!A:I,3)</f>
        <v>Melee</v>
      </c>
      <c r="N80" s="4" t="str">
        <f>VLOOKUP(Table37[[#This Row],[GOD]],' Raw Data for God Type'!A:I,4)</f>
        <v>Physical</v>
      </c>
      <c r="O80" s="11">
        <f>VLOOKUP(Table37[[#This Row],[GOD]],' Raw Data for God Type'!$A$2:$I$121,9)</f>
        <v>42710</v>
      </c>
      <c r="Q80">
        <v>0</v>
      </c>
      <c r="R80">
        <f t="shared" si="5"/>
        <v>0</v>
      </c>
      <c r="S80">
        <f t="shared" si="6"/>
        <v>1</v>
      </c>
      <c r="T80">
        <f t="shared" si="7"/>
        <v>0</v>
      </c>
      <c r="U80">
        <f t="shared" si="8"/>
        <v>0</v>
      </c>
      <c r="V80">
        <f t="shared" si="9"/>
        <v>0</v>
      </c>
    </row>
    <row r="81" spans="1:22" x14ac:dyDescent="0.25">
      <c r="A81" s="4" t="s">
        <v>177</v>
      </c>
      <c r="B81" s="4">
        <v>0.48370000000000002</v>
      </c>
      <c r="C81" s="4">
        <v>4836</v>
      </c>
      <c r="D81" s="4">
        <v>1.79</v>
      </c>
      <c r="E81" s="4">
        <v>12459</v>
      </c>
      <c r="F81" s="4">
        <v>279</v>
      </c>
      <c r="G81" s="4">
        <v>13882</v>
      </c>
      <c r="H81" s="5">
        <f>Table37[[#This Row],[MATCHES]]*Table37[[#This Row],[WIN RATE]]</f>
        <v>2339.1732000000002</v>
      </c>
      <c r="I81" s="5">
        <f>Table37[[#This Row],[MATCHES]]-Table37[[#This Row],[Number of wins]]</f>
        <v>2496.8267999999998</v>
      </c>
      <c r="J81" s="4" t="str">
        <f>VLOOKUP(Table37[[#This Row],[GOD]],' Raw Data for God Type'!A:I,2)</f>
        <v>Roman</v>
      </c>
      <c r="K81" s="4" t="str">
        <f>VLOOKUP(Table37[[#This Row],[GOD]],' Raw Data for God Type'!A:I,5)</f>
        <v>Mage</v>
      </c>
      <c r="L81" s="4" t="str">
        <f>VLOOKUP(Table37[[#This Row],[GOD]],' Raw Data for God Type'!A:I,6)</f>
        <v>Average</v>
      </c>
      <c r="M81" s="4" t="str">
        <f>VLOOKUP(Table37[[#This Row],[GOD]],' Raw Data for God Type'!A:I,3)</f>
        <v>Ranged</v>
      </c>
      <c r="N81" s="4" t="str">
        <f>VLOOKUP(Table37[[#This Row],[GOD]],' Raw Data for God Type'!A:I,4)</f>
        <v>Magical</v>
      </c>
      <c r="O81" s="11">
        <f>VLOOKUP(Table37[[#This Row],[GOD]],' Raw Data for God Type'!$A$2:$I$121,9)</f>
        <v>41941</v>
      </c>
      <c r="Q81">
        <v>0</v>
      </c>
      <c r="R81">
        <f t="shared" si="5"/>
        <v>0</v>
      </c>
      <c r="S81">
        <f t="shared" si="6"/>
        <v>0</v>
      </c>
      <c r="T81">
        <f t="shared" si="7"/>
        <v>1</v>
      </c>
      <c r="U81">
        <f t="shared" si="8"/>
        <v>0</v>
      </c>
      <c r="V81">
        <f t="shared" si="9"/>
        <v>0</v>
      </c>
    </row>
    <row r="82" spans="1:22" x14ac:dyDescent="0.25">
      <c r="A82" s="4" t="s">
        <v>10</v>
      </c>
      <c r="B82" s="4">
        <v>0.5504</v>
      </c>
      <c r="C82" s="4">
        <v>10382</v>
      </c>
      <c r="D82" s="4">
        <v>1.76</v>
      </c>
      <c r="E82" s="4">
        <v>24012</v>
      </c>
      <c r="F82" s="4">
        <v>169</v>
      </c>
      <c r="G82" s="4">
        <v>6133</v>
      </c>
      <c r="H82" s="5">
        <f>Table37[[#This Row],[MATCHES]]*Table37[[#This Row],[WIN RATE]]</f>
        <v>5714.2528000000002</v>
      </c>
      <c r="I82" s="5">
        <f>Table37[[#This Row],[MATCHES]]-Table37[[#This Row],[Number of wins]]</f>
        <v>4667.7471999999998</v>
      </c>
      <c r="J82" s="4" t="str">
        <f>VLOOKUP(Table37[[#This Row],[GOD]],' Raw Data for God Type'!A:I,2)</f>
        <v>Chinese</v>
      </c>
      <c r="K82" s="4" t="str">
        <f>VLOOKUP(Table37[[#This Row],[GOD]],' Raw Data for God Type'!A:I,5)</f>
        <v>Mage</v>
      </c>
      <c r="L82" s="4" t="str">
        <f>VLOOKUP(Table37[[#This Row],[GOD]],' Raw Data for God Type'!A:I,6)</f>
        <v>Easy</v>
      </c>
      <c r="M82" s="4" t="str">
        <f>VLOOKUP(Table37[[#This Row],[GOD]],' Raw Data for God Type'!A:I,3)</f>
        <v>Ranged</v>
      </c>
      <c r="N82" s="4" t="str">
        <f>VLOOKUP(Table37[[#This Row],[GOD]],' Raw Data for God Type'!A:I,4)</f>
        <v>Magical</v>
      </c>
      <c r="O82" s="11">
        <f>VLOOKUP(Table37[[#This Row],[GOD]],' Raw Data for God Type'!$A$2:$I$121,9)</f>
        <v>41613</v>
      </c>
      <c r="Q82">
        <v>1</v>
      </c>
      <c r="R82">
        <f t="shared" si="5"/>
        <v>0</v>
      </c>
      <c r="S82">
        <f t="shared" si="6"/>
        <v>0</v>
      </c>
      <c r="T82">
        <f t="shared" si="7"/>
        <v>1</v>
      </c>
      <c r="U82">
        <f t="shared" si="8"/>
        <v>0</v>
      </c>
      <c r="V82">
        <f t="shared" si="9"/>
        <v>0</v>
      </c>
    </row>
    <row r="83" spans="1:22" x14ac:dyDescent="0.25">
      <c r="A83" s="4" t="s">
        <v>128</v>
      </c>
      <c r="B83" s="4">
        <v>0.50519999999999998</v>
      </c>
      <c r="C83" s="4">
        <v>4341</v>
      </c>
      <c r="D83" s="4">
        <v>1.96</v>
      </c>
      <c r="E83" s="4">
        <v>12266</v>
      </c>
      <c r="F83" s="4">
        <v>157</v>
      </c>
      <c r="G83" s="4">
        <v>24034</v>
      </c>
      <c r="H83" s="5">
        <f>Table37[[#This Row],[MATCHES]]*Table37[[#This Row],[WIN RATE]]</f>
        <v>2193.0731999999998</v>
      </c>
      <c r="I83" s="5">
        <f>Table37[[#This Row],[MATCHES]]-Table37[[#This Row],[Number of wins]]</f>
        <v>2147.9268000000002</v>
      </c>
      <c r="J83" s="4" t="str">
        <f>VLOOKUP(Table37[[#This Row],[GOD]],' Raw Data for God Type'!A:I,2)</f>
        <v>Norse</v>
      </c>
      <c r="K83" s="4" t="str">
        <f>VLOOKUP(Table37[[#This Row],[GOD]],' Raw Data for God Type'!A:I,5)</f>
        <v>Warrior</v>
      </c>
      <c r="L83" s="4" t="str">
        <f>VLOOKUP(Table37[[#This Row],[GOD]],' Raw Data for God Type'!A:I,6)</f>
        <v>Easy</v>
      </c>
      <c r="M83" s="4" t="str">
        <f>VLOOKUP(Table37[[#This Row],[GOD]],' Raw Data for God Type'!A:I,3)</f>
        <v>Melee</v>
      </c>
      <c r="N83" s="4" t="str">
        <f>VLOOKUP(Table37[[#This Row],[GOD]],' Raw Data for God Type'!A:I,4)</f>
        <v>Physical</v>
      </c>
      <c r="O83" s="11">
        <f>VLOOKUP(Table37[[#This Row],[GOD]],' Raw Data for God Type'!$A$2:$I$121,9)</f>
        <v>41060</v>
      </c>
      <c r="Q83">
        <v>0</v>
      </c>
      <c r="R83">
        <f t="shared" si="5"/>
        <v>0</v>
      </c>
      <c r="S83">
        <f t="shared" si="6"/>
        <v>1</v>
      </c>
      <c r="T83">
        <f t="shared" si="7"/>
        <v>0</v>
      </c>
      <c r="U83">
        <f t="shared" si="8"/>
        <v>0</v>
      </c>
      <c r="V83">
        <f t="shared" si="9"/>
        <v>0</v>
      </c>
    </row>
    <row r="84" spans="1:22" x14ac:dyDescent="0.25">
      <c r="A84" s="4" t="s">
        <v>132</v>
      </c>
      <c r="B84" s="4">
        <v>0.50470000000000004</v>
      </c>
      <c r="C84" s="4">
        <v>4163</v>
      </c>
      <c r="D84" s="4">
        <v>1.36</v>
      </c>
      <c r="E84" s="4">
        <v>15629</v>
      </c>
      <c r="F84" s="4">
        <v>1119</v>
      </c>
      <c r="G84" s="4">
        <v>9406</v>
      </c>
      <c r="H84" s="5">
        <f>Table37[[#This Row],[MATCHES]]*Table37[[#This Row],[WIN RATE]]</f>
        <v>2101.0661</v>
      </c>
      <c r="I84" s="5">
        <f>Table37[[#This Row],[MATCHES]]-Table37[[#This Row],[Number of wins]]</f>
        <v>2061.9339</v>
      </c>
      <c r="J84" s="4" t="str">
        <f>VLOOKUP(Table37[[#This Row],[GOD]],' Raw Data for God Type'!A:I,2)</f>
        <v>Yoruba</v>
      </c>
      <c r="K84" s="4" t="str">
        <f>VLOOKUP(Table37[[#This Row],[GOD]],' Raw Data for God Type'!A:I,5)</f>
        <v>Mage</v>
      </c>
      <c r="L84" s="4" t="str">
        <f>VLOOKUP(Table37[[#This Row],[GOD]],' Raw Data for God Type'!A:I,6)</f>
        <v>Average</v>
      </c>
      <c r="M84" s="4" t="str">
        <f>VLOOKUP(Table37[[#This Row],[GOD]],' Raw Data for God Type'!A:I,3)</f>
        <v>Ranged</v>
      </c>
      <c r="N84" s="4" t="str">
        <f>VLOOKUP(Table37[[#This Row],[GOD]],' Raw Data for God Type'!A:I,4)</f>
        <v>Magical</v>
      </c>
      <c r="O84" s="11">
        <f>VLOOKUP(Table37[[#This Row],[GOD]],' Raw Data for God Type'!$A$2:$I$121,9)</f>
        <v>43641</v>
      </c>
      <c r="Q84">
        <v>0</v>
      </c>
      <c r="R84">
        <f t="shared" si="5"/>
        <v>0</v>
      </c>
      <c r="S84">
        <f t="shared" si="6"/>
        <v>0</v>
      </c>
      <c r="T84">
        <f t="shared" si="7"/>
        <v>1</v>
      </c>
      <c r="U84">
        <f t="shared" si="8"/>
        <v>0</v>
      </c>
      <c r="V84">
        <f t="shared" si="9"/>
        <v>0</v>
      </c>
    </row>
    <row r="85" spans="1:22" x14ac:dyDescent="0.25">
      <c r="A85" s="4" t="s">
        <v>155</v>
      </c>
      <c r="B85" s="4">
        <v>0.49659999999999999</v>
      </c>
      <c r="C85" s="4">
        <v>7394</v>
      </c>
      <c r="D85" s="4">
        <v>1.69</v>
      </c>
      <c r="E85" s="4">
        <v>15577</v>
      </c>
      <c r="F85" s="4">
        <v>64</v>
      </c>
      <c r="G85" s="4">
        <v>30859</v>
      </c>
      <c r="H85" s="5">
        <f>Table37[[#This Row],[MATCHES]]*Table37[[#This Row],[WIN RATE]]</f>
        <v>3671.8604</v>
      </c>
      <c r="I85" s="5">
        <f>Table37[[#This Row],[MATCHES]]-Table37[[#This Row],[Number of wins]]</f>
        <v>3722.1396</v>
      </c>
      <c r="J85" s="4" t="str">
        <f>VLOOKUP(Table37[[#This Row],[GOD]],' Raw Data for God Type'!A:I,2)</f>
        <v>Egyptian</v>
      </c>
      <c r="K85" s="4" t="str">
        <f>VLOOKUP(Table37[[#This Row],[GOD]],' Raw Data for God Type'!A:I,5)</f>
        <v>Warrior</v>
      </c>
      <c r="L85" s="4" t="str">
        <f>VLOOKUP(Table37[[#This Row],[GOD]],' Raw Data for God Type'!A:I,6)</f>
        <v>Hard</v>
      </c>
      <c r="M85" s="4" t="str">
        <f>VLOOKUP(Table37[[#This Row],[GOD]],' Raw Data for God Type'!A:I,3)</f>
        <v>Melee</v>
      </c>
      <c r="N85" s="4" t="str">
        <f>VLOOKUP(Table37[[#This Row],[GOD]],' Raw Data for God Type'!A:I,4)</f>
        <v>Physical</v>
      </c>
      <c r="O85" s="11">
        <f>VLOOKUP(Table37[[#This Row],[GOD]],' Raw Data for God Type'!$A$2:$I$121,9)</f>
        <v>41765</v>
      </c>
      <c r="Q85">
        <v>0</v>
      </c>
      <c r="R85">
        <f t="shared" si="5"/>
        <v>0</v>
      </c>
      <c r="S85">
        <f t="shared" si="6"/>
        <v>1</v>
      </c>
      <c r="T85">
        <f t="shared" si="7"/>
        <v>0</v>
      </c>
      <c r="U85">
        <f t="shared" si="8"/>
        <v>0</v>
      </c>
      <c r="V85">
        <f t="shared" si="9"/>
        <v>0</v>
      </c>
    </row>
    <row r="86" spans="1:22" x14ac:dyDescent="0.25">
      <c r="A86" s="4" t="s">
        <v>123</v>
      </c>
      <c r="B86" s="4">
        <v>0.50590000000000002</v>
      </c>
      <c r="C86" s="4">
        <v>6804</v>
      </c>
      <c r="D86" s="4">
        <v>1.81</v>
      </c>
      <c r="E86" s="4">
        <v>17519</v>
      </c>
      <c r="F86" s="4">
        <v>29</v>
      </c>
      <c r="G86" s="4">
        <v>12829</v>
      </c>
      <c r="H86" s="5">
        <f>Table37[[#This Row],[MATCHES]]*Table37[[#This Row],[WIN RATE]]</f>
        <v>3442.1436000000003</v>
      </c>
      <c r="I86" s="5">
        <f>Table37[[#This Row],[MATCHES]]-Table37[[#This Row],[Number of wins]]</f>
        <v>3361.8563999999997</v>
      </c>
      <c r="J86" s="4" t="str">
        <f>VLOOKUP(Table37[[#This Row],[GOD]],' Raw Data for God Type'!A:I,2)</f>
        <v>Polynesian</v>
      </c>
      <c r="K86" s="4" t="str">
        <f>VLOOKUP(Table37[[#This Row],[GOD]],' Raw Data for God Type'!A:I,5)</f>
        <v>Assassin</v>
      </c>
      <c r="L86" s="4" t="str">
        <f>VLOOKUP(Table37[[#This Row],[GOD]],' Raw Data for God Type'!A:I,6)</f>
        <v>Average</v>
      </c>
      <c r="M86" s="4" t="str">
        <f>VLOOKUP(Table37[[#This Row],[GOD]],' Raw Data for God Type'!A:I,3)</f>
        <v>Melee</v>
      </c>
      <c r="N86" s="4" t="str">
        <f>VLOOKUP(Table37[[#This Row],[GOD]],' Raw Data for God Type'!A:I,4)</f>
        <v>Physical</v>
      </c>
      <c r="O86" s="11">
        <f>VLOOKUP(Table37[[#This Row],[GOD]],' Raw Data for God Type'!$A$2:$I$121,9)</f>
        <v>43318</v>
      </c>
      <c r="Q86">
        <v>0</v>
      </c>
      <c r="R86">
        <f t="shared" si="5"/>
        <v>0</v>
      </c>
      <c r="S86">
        <f t="shared" si="6"/>
        <v>0</v>
      </c>
      <c r="T86">
        <f t="shared" si="7"/>
        <v>0</v>
      </c>
      <c r="U86">
        <f t="shared" si="8"/>
        <v>0</v>
      </c>
      <c r="V86">
        <f t="shared" si="9"/>
        <v>1</v>
      </c>
    </row>
    <row r="87" spans="1:22" x14ac:dyDescent="0.25">
      <c r="A87" s="4" t="s">
        <v>126</v>
      </c>
      <c r="B87" s="4">
        <v>0.50529999999999997</v>
      </c>
      <c r="C87" s="4">
        <v>10027</v>
      </c>
      <c r="D87" s="4">
        <v>1.6</v>
      </c>
      <c r="E87" s="4">
        <v>18569</v>
      </c>
      <c r="F87" s="4">
        <v>110</v>
      </c>
      <c r="G87" s="4">
        <v>6388</v>
      </c>
      <c r="H87" s="5">
        <f>Table37[[#This Row],[MATCHES]]*Table37[[#This Row],[WIN RATE]]</f>
        <v>5066.6430999999993</v>
      </c>
      <c r="I87" s="5">
        <f>Table37[[#This Row],[MATCHES]]-Table37[[#This Row],[Number of wins]]</f>
        <v>4960.3569000000007</v>
      </c>
      <c r="J87" s="4" t="str">
        <f>VLOOKUP(Table37[[#This Row],[GOD]],' Raw Data for God Type'!A:I,2)</f>
        <v>Greek</v>
      </c>
      <c r="K87" s="4" t="str">
        <f>VLOOKUP(Table37[[#This Row],[GOD]],' Raw Data for God Type'!A:I,5)</f>
        <v>Mage</v>
      </c>
      <c r="L87" s="4" t="str">
        <f>VLOOKUP(Table37[[#This Row],[GOD]],' Raw Data for God Type'!A:I,6)</f>
        <v>Hard</v>
      </c>
      <c r="M87" s="4" t="str">
        <f>VLOOKUP(Table37[[#This Row],[GOD]],' Raw Data for God Type'!A:I,3)</f>
        <v>Ranged</v>
      </c>
      <c r="N87" s="4" t="str">
        <f>VLOOKUP(Table37[[#This Row],[GOD]],' Raw Data for God Type'!A:I,4)</f>
        <v>Magical</v>
      </c>
      <c r="O87" s="11">
        <f>VLOOKUP(Table37[[#This Row],[GOD]],' Raw Data for God Type'!$A$2:$I$121,9)</f>
        <v>43697</v>
      </c>
      <c r="Q87">
        <v>0</v>
      </c>
      <c r="R87">
        <f t="shared" si="5"/>
        <v>0</v>
      </c>
      <c r="S87">
        <f t="shared" si="6"/>
        <v>0</v>
      </c>
      <c r="T87">
        <f t="shared" si="7"/>
        <v>1</v>
      </c>
      <c r="U87">
        <f t="shared" si="8"/>
        <v>0</v>
      </c>
      <c r="V87">
        <f t="shared" si="9"/>
        <v>0</v>
      </c>
    </row>
    <row r="88" spans="1:22" x14ac:dyDescent="0.25">
      <c r="A88" s="4" t="s">
        <v>38</v>
      </c>
      <c r="B88" s="4">
        <v>0.53510000000000002</v>
      </c>
      <c r="C88" s="4">
        <v>11673</v>
      </c>
      <c r="D88" s="4">
        <v>1.6</v>
      </c>
      <c r="E88" s="4">
        <v>18721</v>
      </c>
      <c r="F88" s="4">
        <v>66</v>
      </c>
      <c r="G88" s="4">
        <v>6573</v>
      </c>
      <c r="H88" s="5">
        <f>Table37[[#This Row],[MATCHES]]*Table37[[#This Row],[WIN RATE]]</f>
        <v>6246.2223000000004</v>
      </c>
      <c r="I88" s="5">
        <f>Table37[[#This Row],[MATCHES]]-Table37[[#This Row],[Number of wins]]</f>
        <v>5426.7776999999996</v>
      </c>
      <c r="J88" s="4" t="str">
        <f>VLOOKUP(Table37[[#This Row],[GOD]],' Raw Data for God Type'!A:I,2)</f>
        <v>Greek</v>
      </c>
      <c r="K88" s="4" t="str">
        <f>VLOOKUP(Table37[[#This Row],[GOD]],' Raw Data for God Type'!A:I,5)</f>
        <v>Mage</v>
      </c>
      <c r="L88" s="4" t="str">
        <f>VLOOKUP(Table37[[#This Row],[GOD]],' Raw Data for God Type'!A:I,6)</f>
        <v>Easy</v>
      </c>
      <c r="M88" s="4" t="str">
        <f>VLOOKUP(Table37[[#This Row],[GOD]],' Raw Data for God Type'!A:I,3)</f>
        <v>Ranged</v>
      </c>
      <c r="N88" s="4" t="str">
        <f>VLOOKUP(Table37[[#This Row],[GOD]],' Raw Data for God Type'!A:I,4)</f>
        <v>Magical</v>
      </c>
      <c r="O88" s="11">
        <f>VLOOKUP(Table37[[#This Row],[GOD]],' Raw Data for God Type'!$A$2:$I$121,9)</f>
        <v>41333</v>
      </c>
      <c r="Q88">
        <v>0</v>
      </c>
      <c r="R88">
        <f t="shared" si="5"/>
        <v>0</v>
      </c>
      <c r="S88">
        <f t="shared" si="6"/>
        <v>0</v>
      </c>
      <c r="T88">
        <f t="shared" si="7"/>
        <v>1</v>
      </c>
      <c r="U88">
        <f t="shared" si="8"/>
        <v>0</v>
      </c>
      <c r="V88">
        <f t="shared" si="9"/>
        <v>0</v>
      </c>
    </row>
    <row r="89" spans="1:22" x14ac:dyDescent="0.25">
      <c r="A89" s="4" t="s">
        <v>119</v>
      </c>
      <c r="B89" s="4">
        <v>0.5071</v>
      </c>
      <c r="C89" s="4">
        <v>8216</v>
      </c>
      <c r="D89" s="4">
        <v>1.53</v>
      </c>
      <c r="E89" s="4">
        <v>15875</v>
      </c>
      <c r="F89" s="4">
        <v>3066</v>
      </c>
      <c r="G89" s="4">
        <v>8542</v>
      </c>
      <c r="H89" s="5">
        <f>Table37[[#This Row],[MATCHES]]*Table37[[#This Row],[WIN RATE]]</f>
        <v>4166.3335999999999</v>
      </c>
      <c r="I89" s="5">
        <f>Table37[[#This Row],[MATCHES]]-Table37[[#This Row],[Number of wins]]</f>
        <v>4049.6664000000001</v>
      </c>
      <c r="J89" s="4" t="str">
        <f>VLOOKUP(Table37[[#This Row],[GOD]],' Raw Data for God Type'!A:I,2)</f>
        <v>Egyptian</v>
      </c>
      <c r="K89" s="4" t="str">
        <f>VLOOKUP(Table37[[#This Row],[GOD]],' Raw Data for God Type'!A:I,5)</f>
        <v>Mage</v>
      </c>
      <c r="L89" s="4" t="str">
        <f>VLOOKUP(Table37[[#This Row],[GOD]],' Raw Data for God Type'!A:I,6)</f>
        <v>Average</v>
      </c>
      <c r="M89" s="4" t="str">
        <f>VLOOKUP(Table37[[#This Row],[GOD]],' Raw Data for God Type'!A:I,3)</f>
        <v>Ranged</v>
      </c>
      <c r="N89" s="4" t="str">
        <f>VLOOKUP(Table37[[#This Row],[GOD]],' Raw Data for God Type'!A:I,4)</f>
        <v>Magical</v>
      </c>
      <c r="O89" s="11">
        <f>VLOOKUP(Table37[[#This Row],[GOD]],' Raw Data for God Type'!$A$2:$I$121,9)</f>
        <v>41060</v>
      </c>
      <c r="Q89">
        <v>0</v>
      </c>
      <c r="R89">
        <f t="shared" si="5"/>
        <v>0</v>
      </c>
      <c r="S89">
        <f t="shared" si="6"/>
        <v>0</v>
      </c>
      <c r="T89">
        <f t="shared" si="7"/>
        <v>1</v>
      </c>
      <c r="U89">
        <f t="shared" si="8"/>
        <v>0</v>
      </c>
      <c r="V89">
        <f t="shared" si="9"/>
        <v>0</v>
      </c>
    </row>
    <row r="90" spans="1:22" x14ac:dyDescent="0.25">
      <c r="A90" s="4" t="s">
        <v>181</v>
      </c>
      <c r="B90" s="4">
        <v>0.48130000000000001</v>
      </c>
      <c r="C90" s="4">
        <v>1681</v>
      </c>
      <c r="D90" s="4">
        <v>1.44</v>
      </c>
      <c r="E90" s="4">
        <v>15893</v>
      </c>
      <c r="F90" s="4">
        <v>89</v>
      </c>
      <c r="G90" s="4">
        <v>7552</v>
      </c>
      <c r="H90" s="5">
        <f>Table37[[#This Row],[MATCHES]]*Table37[[#This Row],[WIN RATE]]</f>
        <v>809.06529999999998</v>
      </c>
      <c r="I90" s="5">
        <f>Table37[[#This Row],[MATCHES]]-Table37[[#This Row],[Number of wins]]</f>
        <v>871.93470000000002</v>
      </c>
      <c r="J90" s="4" t="str">
        <f>VLOOKUP(Table37[[#This Row],[GOD]],' Raw Data for God Type'!A:I,2)</f>
        <v>Japanese</v>
      </c>
      <c r="K90" s="4" t="str">
        <f>VLOOKUP(Table37[[#This Row],[GOD]],' Raw Data for God Type'!A:I,5)</f>
        <v>Mage</v>
      </c>
      <c r="L90" s="4" t="str">
        <f>VLOOKUP(Table37[[#This Row],[GOD]],' Raw Data for God Type'!A:I,6)</f>
        <v>Average</v>
      </c>
      <c r="M90" s="4" t="str">
        <f>VLOOKUP(Table37[[#This Row],[GOD]],' Raw Data for God Type'!A:I,3)</f>
        <v>Ranged</v>
      </c>
      <c r="N90" s="4" t="str">
        <f>VLOOKUP(Table37[[#This Row],[GOD]],' Raw Data for God Type'!A:I,4)</f>
        <v>Magical</v>
      </c>
      <c r="O90" s="11">
        <f>VLOOKUP(Table37[[#This Row],[GOD]],' Raw Data for God Type'!$A$2:$I$121,9)</f>
        <v>42416</v>
      </c>
      <c r="Q90">
        <v>0</v>
      </c>
      <c r="R90">
        <f t="shared" si="5"/>
        <v>0</v>
      </c>
      <c r="S90">
        <f t="shared" si="6"/>
        <v>0</v>
      </c>
      <c r="T90">
        <f t="shared" si="7"/>
        <v>1</v>
      </c>
      <c r="U90">
        <f t="shared" si="8"/>
        <v>0</v>
      </c>
      <c r="V90">
        <f t="shared" si="9"/>
        <v>0</v>
      </c>
    </row>
    <row r="91" spans="1:22" x14ac:dyDescent="0.25">
      <c r="A91" s="4" t="s">
        <v>125</v>
      </c>
      <c r="B91" s="4">
        <v>0.50570000000000004</v>
      </c>
      <c r="C91" s="4">
        <v>7081</v>
      </c>
      <c r="D91" s="4">
        <v>1.61</v>
      </c>
      <c r="E91" s="4">
        <v>17669</v>
      </c>
      <c r="F91" s="4">
        <v>12</v>
      </c>
      <c r="G91" s="4">
        <v>7923</v>
      </c>
      <c r="H91" s="5">
        <f>Table37[[#This Row],[MATCHES]]*Table37[[#This Row],[WIN RATE]]</f>
        <v>3580.8617000000004</v>
      </c>
      <c r="I91" s="5">
        <f>Table37[[#This Row],[MATCHES]]-Table37[[#This Row],[Number of wins]]</f>
        <v>3500.1382999999996</v>
      </c>
      <c r="J91" s="4" t="str">
        <f>VLOOKUP(Table37[[#This Row],[GOD]],' Raw Data for God Type'!A:I,2)</f>
        <v>Hindu</v>
      </c>
      <c r="K91" s="4" t="str">
        <f>VLOOKUP(Table37[[#This Row],[GOD]],' Raw Data for God Type'!A:I,5)</f>
        <v>Hunter</v>
      </c>
      <c r="L91" s="4" t="str">
        <f>VLOOKUP(Table37[[#This Row],[GOD]],' Raw Data for God Type'!A:I,6)</f>
        <v>Average</v>
      </c>
      <c r="M91" s="4" t="str">
        <f>VLOOKUP(Table37[[#This Row],[GOD]],' Raw Data for God Type'!A:I,3)</f>
        <v>Ranged</v>
      </c>
      <c r="N91" s="4" t="str">
        <f>VLOOKUP(Table37[[#This Row],[GOD]],' Raw Data for God Type'!A:I,4)</f>
        <v>Physical</v>
      </c>
      <c r="O91" s="11">
        <f>VLOOKUP(Table37[[#This Row],[GOD]],' Raw Data for God Type'!$A$2:$I$121,9)</f>
        <v>41814</v>
      </c>
      <c r="Q91">
        <v>0</v>
      </c>
      <c r="R91">
        <f t="shared" si="5"/>
        <v>1</v>
      </c>
      <c r="S91">
        <f t="shared" si="6"/>
        <v>0</v>
      </c>
      <c r="T91">
        <f t="shared" si="7"/>
        <v>0</v>
      </c>
      <c r="U91">
        <f t="shared" si="8"/>
        <v>0</v>
      </c>
      <c r="V91">
        <f t="shared" si="9"/>
        <v>0</v>
      </c>
    </row>
    <row r="92" spans="1:22" x14ac:dyDescent="0.25">
      <c r="A92" s="4" t="s">
        <v>215</v>
      </c>
      <c r="B92" s="4">
        <v>0.47110000000000002</v>
      </c>
      <c r="C92" s="4">
        <v>6476</v>
      </c>
      <c r="D92" s="4">
        <v>1.76</v>
      </c>
      <c r="E92" s="4">
        <v>15123</v>
      </c>
      <c r="F92" s="4">
        <v>57</v>
      </c>
      <c r="G92" s="4">
        <v>13404</v>
      </c>
      <c r="H92" s="5">
        <f>Table37[[#This Row],[MATCHES]]*Table37[[#This Row],[WIN RATE]]</f>
        <v>3050.8436000000002</v>
      </c>
      <c r="I92" s="5">
        <f>Table37[[#This Row],[MATCHES]]-Table37[[#This Row],[Number of wins]]</f>
        <v>3425.1563999999998</v>
      </c>
      <c r="J92" s="4" t="str">
        <f>VLOOKUP(Table37[[#This Row],[GOD]],' Raw Data for God Type'!A:I,2)</f>
        <v>Norse</v>
      </c>
      <c r="K92" s="4" t="str">
        <f>VLOOKUP(Table37[[#This Row],[GOD]],' Raw Data for God Type'!A:I,5)</f>
        <v>Assassin</v>
      </c>
      <c r="L92" s="4" t="str">
        <f>VLOOKUP(Table37[[#This Row],[GOD]],' Raw Data for God Type'!A:I,6)</f>
        <v>Easy</v>
      </c>
      <c r="M92" s="4" t="str">
        <f>VLOOKUP(Table37[[#This Row],[GOD]],' Raw Data for God Type'!A:I,3)</f>
        <v>Melee</v>
      </c>
      <c r="N92" s="4" t="str">
        <f>VLOOKUP(Table37[[#This Row],[GOD]],' Raw Data for God Type'!A:I,4)</f>
        <v>Physical</v>
      </c>
      <c r="O92" s="11">
        <f>VLOOKUP(Table37[[#This Row],[GOD]],' Raw Data for God Type'!$A$2:$I$121,9)</f>
        <v>42157</v>
      </c>
      <c r="Q92">
        <v>0</v>
      </c>
      <c r="R92">
        <f t="shared" si="5"/>
        <v>0</v>
      </c>
      <c r="S92">
        <f t="shared" si="6"/>
        <v>0</v>
      </c>
      <c r="T92">
        <f t="shared" si="7"/>
        <v>0</v>
      </c>
      <c r="U92">
        <f t="shared" si="8"/>
        <v>0</v>
      </c>
      <c r="V92">
        <f t="shared" si="9"/>
        <v>1</v>
      </c>
    </row>
    <row r="93" spans="1:22" x14ac:dyDescent="0.25">
      <c r="A93" s="4" t="s">
        <v>191</v>
      </c>
      <c r="B93" s="4">
        <v>0.47789999999999999</v>
      </c>
      <c r="C93" s="4">
        <v>8468</v>
      </c>
      <c r="D93" s="4">
        <v>1.91</v>
      </c>
      <c r="E93" s="4">
        <v>15243</v>
      </c>
      <c r="F93" s="4">
        <v>23</v>
      </c>
      <c r="G93" s="4">
        <v>11955</v>
      </c>
      <c r="H93" s="5">
        <f>Table37[[#This Row],[MATCHES]]*Table37[[#This Row],[WIN RATE]]</f>
        <v>4046.8571999999999</v>
      </c>
      <c r="I93" s="5">
        <f>Table37[[#This Row],[MATCHES]]-Table37[[#This Row],[Number of wins]]</f>
        <v>4421.1427999999996</v>
      </c>
      <c r="J93" s="4" t="str">
        <f>VLOOKUP(Table37[[#This Row],[GOD]],' Raw Data for God Type'!A:I,2)</f>
        <v>Hindu</v>
      </c>
      <c r="K93" s="4" t="str">
        <f>VLOOKUP(Table37[[#This Row],[GOD]],' Raw Data for God Type'!A:I,5)</f>
        <v>Assassin</v>
      </c>
      <c r="L93" s="4" t="str">
        <f>VLOOKUP(Table37[[#This Row],[GOD]],' Raw Data for God Type'!A:I,6)</f>
        <v>Average</v>
      </c>
      <c r="M93" s="4" t="str">
        <f>VLOOKUP(Table37[[#This Row],[GOD]],' Raw Data for God Type'!A:I,3)</f>
        <v>Melee</v>
      </c>
      <c r="N93" s="4" t="str">
        <f>VLOOKUP(Table37[[#This Row],[GOD]],' Raw Data for God Type'!A:I,4)</f>
        <v>Physical</v>
      </c>
      <c r="O93" s="11">
        <f>VLOOKUP(Table37[[#This Row],[GOD]],' Raw Data for God Type'!$A$2:$I$121,9)</f>
        <v>42185</v>
      </c>
      <c r="Q93">
        <v>0</v>
      </c>
      <c r="R93">
        <f t="shared" si="5"/>
        <v>0</v>
      </c>
      <c r="S93">
        <f t="shared" si="6"/>
        <v>0</v>
      </c>
      <c r="T93">
        <f t="shared" si="7"/>
        <v>0</v>
      </c>
      <c r="U93">
        <f t="shared" si="8"/>
        <v>0</v>
      </c>
      <c r="V93">
        <f t="shared" si="9"/>
        <v>1</v>
      </c>
    </row>
    <row r="94" spans="1:22" x14ac:dyDescent="0.25">
      <c r="A94" s="4" t="s">
        <v>94</v>
      </c>
      <c r="B94" s="4">
        <v>0.51270000000000004</v>
      </c>
      <c r="C94" s="4">
        <v>7829</v>
      </c>
      <c r="D94" s="4">
        <v>1.77</v>
      </c>
      <c r="E94" s="4">
        <v>17295</v>
      </c>
      <c r="F94" s="4">
        <v>59</v>
      </c>
      <c r="G94" s="4">
        <v>5712</v>
      </c>
      <c r="H94" s="5">
        <f>Table37[[#This Row],[MATCHES]]*Table37[[#This Row],[WIN RATE]]</f>
        <v>4013.9283000000005</v>
      </c>
      <c r="I94" s="5">
        <f>Table37[[#This Row],[MATCHES]]-Table37[[#This Row],[Number of wins]]</f>
        <v>3815.0716999999995</v>
      </c>
      <c r="J94" s="4" t="str">
        <f>VLOOKUP(Table37[[#This Row],[GOD]],' Raw Data for God Type'!A:I,2)</f>
        <v>Greek</v>
      </c>
      <c r="K94" s="4" t="str">
        <f>VLOOKUP(Table37[[#This Row],[GOD]],' Raw Data for God Type'!A:I,5)</f>
        <v>Mage</v>
      </c>
      <c r="L94" s="4" t="str">
        <f>VLOOKUP(Table37[[#This Row],[GOD]],' Raw Data for God Type'!A:I,6)</f>
        <v>Easy</v>
      </c>
      <c r="M94" s="4" t="str">
        <f>VLOOKUP(Table37[[#This Row],[GOD]],' Raw Data for God Type'!A:I,3)</f>
        <v>Ranged</v>
      </c>
      <c r="N94" s="4" t="str">
        <f>VLOOKUP(Table37[[#This Row],[GOD]],' Raw Data for God Type'!A:I,4)</f>
        <v>Magical</v>
      </c>
      <c r="O94" s="11">
        <f>VLOOKUP(Table37[[#This Row],[GOD]],' Raw Data for God Type'!$A$2:$I$121,9)</f>
        <v>41703</v>
      </c>
      <c r="Q94">
        <v>0</v>
      </c>
      <c r="R94">
        <f t="shared" si="5"/>
        <v>0</v>
      </c>
      <c r="S94">
        <f t="shared" si="6"/>
        <v>0</v>
      </c>
      <c r="T94">
        <f t="shared" si="7"/>
        <v>1</v>
      </c>
      <c r="U94">
        <f t="shared" si="8"/>
        <v>0</v>
      </c>
      <c r="V94">
        <f t="shared" si="9"/>
        <v>0</v>
      </c>
    </row>
    <row r="95" spans="1:22" x14ac:dyDescent="0.25">
      <c r="A95" s="4" t="s">
        <v>243</v>
      </c>
      <c r="B95" s="4">
        <v>0.40920000000000001</v>
      </c>
      <c r="C95" s="4">
        <v>3551</v>
      </c>
      <c r="D95" s="4">
        <v>1.55</v>
      </c>
      <c r="E95" s="4">
        <v>12492</v>
      </c>
      <c r="F95" s="4">
        <v>73</v>
      </c>
      <c r="G95" s="4">
        <v>13077</v>
      </c>
      <c r="H95" s="5">
        <f>Table37[[#This Row],[MATCHES]]*Table37[[#This Row],[WIN RATE]]</f>
        <v>1453.0692000000001</v>
      </c>
      <c r="I95" s="5">
        <f>Table37[[#This Row],[MATCHES]]-Table37[[#This Row],[Number of wins]]</f>
        <v>2097.9308000000001</v>
      </c>
      <c r="J95" s="4" t="str">
        <f>VLOOKUP(Table37[[#This Row],[GOD]],' Raw Data for God Type'!A:I,2)</f>
        <v>Egyptian</v>
      </c>
      <c r="K95" s="4" t="str">
        <f>VLOOKUP(Table37[[#This Row],[GOD]],' Raw Data for God Type'!A:I,5)</f>
        <v>Assassin</v>
      </c>
      <c r="L95" s="4" t="str">
        <f>VLOOKUP(Table37[[#This Row],[GOD]],' Raw Data for God Type'!A:I,6)</f>
        <v>Average</v>
      </c>
      <c r="M95" s="4" t="str">
        <f>VLOOKUP(Table37[[#This Row],[GOD]],' Raw Data for God Type'!A:I,3)</f>
        <v>Melee</v>
      </c>
      <c r="N95" s="4" t="str">
        <f>VLOOKUP(Table37[[#This Row],[GOD]],' Raw Data for God Type'!A:I,4)</f>
        <v>Physical</v>
      </c>
      <c r="O95" s="11">
        <f>VLOOKUP(Table37[[#This Row],[GOD]],' Raw Data for God Type'!$A$2:$I$121,9)</f>
        <v>41835</v>
      </c>
      <c r="Q95">
        <v>0</v>
      </c>
      <c r="R95">
        <f t="shared" si="5"/>
        <v>0</v>
      </c>
      <c r="S95">
        <f t="shared" si="6"/>
        <v>0</v>
      </c>
      <c r="T95">
        <f t="shared" si="7"/>
        <v>0</v>
      </c>
      <c r="U95">
        <f t="shared" si="8"/>
        <v>0</v>
      </c>
      <c r="V95">
        <f t="shared" si="9"/>
        <v>1</v>
      </c>
    </row>
    <row r="96" spans="1:22" x14ac:dyDescent="0.25">
      <c r="A96" s="4" t="s">
        <v>219</v>
      </c>
      <c r="B96" s="4">
        <v>0.46939999999999998</v>
      </c>
      <c r="C96" s="4">
        <v>4959</v>
      </c>
      <c r="D96" s="4">
        <v>1.68</v>
      </c>
      <c r="E96" s="4">
        <v>15706</v>
      </c>
      <c r="F96" s="4">
        <v>23</v>
      </c>
      <c r="G96" s="4">
        <v>16642</v>
      </c>
      <c r="H96" s="5">
        <f>Table37[[#This Row],[MATCHES]]*Table37[[#This Row],[WIN RATE]]</f>
        <v>2327.7545999999998</v>
      </c>
      <c r="I96" s="5">
        <f>Table37[[#This Row],[MATCHES]]-Table37[[#This Row],[Number of wins]]</f>
        <v>2631.2454000000002</v>
      </c>
      <c r="J96" s="4" t="str">
        <f>VLOOKUP(Table37[[#This Row],[GOD]],' Raw Data for God Type'!A:I,2)</f>
        <v>Egyptian</v>
      </c>
      <c r="K96" s="4" t="str">
        <f>VLOOKUP(Table37[[#This Row],[GOD]],' Raw Data for God Type'!A:I,5)</f>
        <v>Assassin</v>
      </c>
      <c r="L96" s="4" t="str">
        <f>VLOOKUP(Table37[[#This Row],[GOD]],' Raw Data for God Type'!A:I,6)</f>
        <v>Average</v>
      </c>
      <c r="M96" s="4" t="str">
        <f>VLOOKUP(Table37[[#This Row],[GOD]],' Raw Data for God Type'!A:I,3)</f>
        <v>Melee</v>
      </c>
      <c r="N96" s="4" t="str">
        <f>VLOOKUP(Table37[[#This Row],[GOD]],' Raw Data for God Type'!A:I,4)</f>
        <v>Physical</v>
      </c>
      <c r="O96" s="11">
        <f>VLOOKUP(Table37[[#This Row],[GOD]],' Raw Data for God Type'!$A$2:$I$121,9)</f>
        <v>43585</v>
      </c>
      <c r="Q96">
        <v>0</v>
      </c>
      <c r="R96">
        <f t="shared" si="5"/>
        <v>0</v>
      </c>
      <c r="S96">
        <f t="shared" si="6"/>
        <v>0</v>
      </c>
      <c r="T96">
        <f t="shared" si="7"/>
        <v>0</v>
      </c>
      <c r="U96">
        <f t="shared" si="8"/>
        <v>0</v>
      </c>
      <c r="V96">
        <f t="shared" si="9"/>
        <v>1</v>
      </c>
    </row>
    <row r="97" spans="1:22" x14ac:dyDescent="0.25">
      <c r="A97" s="4" t="s">
        <v>36</v>
      </c>
      <c r="B97" s="4">
        <v>0.53600000000000003</v>
      </c>
      <c r="C97" s="4">
        <v>17032</v>
      </c>
      <c r="D97" s="4">
        <v>2.02</v>
      </c>
      <c r="E97" s="4">
        <v>17322</v>
      </c>
      <c r="F97" s="4">
        <v>819</v>
      </c>
      <c r="G97" s="4">
        <v>29074</v>
      </c>
      <c r="H97" s="5">
        <f>Table37[[#This Row],[MATCHES]]*Table37[[#This Row],[WIN RATE]]</f>
        <v>9129.152</v>
      </c>
      <c r="I97" s="5">
        <f>Table37[[#This Row],[MATCHES]]-Table37[[#This Row],[Number of wins]]</f>
        <v>7902.848</v>
      </c>
      <c r="J97" s="4" t="str">
        <f>VLOOKUP(Table37[[#This Row],[GOD]],' Raw Data for God Type'!A:I,2)</f>
        <v>Hindu</v>
      </c>
      <c r="K97" s="4" t="str">
        <f>VLOOKUP(Table37[[#This Row],[GOD]],' Raw Data for God Type'!A:I,5)</f>
        <v>Warrior</v>
      </c>
      <c r="L97" s="4" t="str">
        <f>VLOOKUP(Table37[[#This Row],[GOD]],' Raw Data for God Type'!A:I,6)</f>
        <v>Average</v>
      </c>
      <c r="M97" s="4" t="str">
        <f>VLOOKUP(Table37[[#This Row],[GOD]],' Raw Data for God Type'!A:I,3)</f>
        <v>Melee</v>
      </c>
      <c r="N97" s="4" t="str">
        <f>VLOOKUP(Table37[[#This Row],[GOD]],' Raw Data for God Type'!A:I,4)</f>
        <v>Physical</v>
      </c>
      <c r="O97" s="11">
        <f>VLOOKUP(Table37[[#This Row],[GOD]],' Raw Data for God Type'!$A$2:$I$121,9)</f>
        <v>44614</v>
      </c>
      <c r="Q97">
        <v>0</v>
      </c>
      <c r="R97">
        <f t="shared" si="5"/>
        <v>0</v>
      </c>
      <c r="S97">
        <f t="shared" si="6"/>
        <v>1</v>
      </c>
      <c r="T97">
        <f t="shared" si="7"/>
        <v>0</v>
      </c>
      <c r="U97">
        <f t="shared" si="8"/>
        <v>0</v>
      </c>
      <c r="V97">
        <f t="shared" si="9"/>
        <v>0</v>
      </c>
    </row>
    <row r="98" spans="1:22" x14ac:dyDescent="0.25">
      <c r="A98" s="4" t="s">
        <v>58</v>
      </c>
      <c r="B98" s="4">
        <v>0.52829999999999999</v>
      </c>
      <c r="C98" s="4">
        <v>12912</v>
      </c>
      <c r="D98" s="4">
        <v>1.6</v>
      </c>
      <c r="E98" s="4">
        <v>18504</v>
      </c>
      <c r="F98" s="4">
        <v>53</v>
      </c>
      <c r="G98" s="4">
        <v>7198</v>
      </c>
      <c r="H98" s="5">
        <f>Table37[[#This Row],[MATCHES]]*Table37[[#This Row],[WIN RATE]]</f>
        <v>6821.4096</v>
      </c>
      <c r="I98" s="5">
        <f>Table37[[#This Row],[MATCHES]]-Table37[[#This Row],[Number of wins]]</f>
        <v>6090.5904</v>
      </c>
      <c r="J98" s="4" t="str">
        <f>VLOOKUP(Table37[[#This Row],[GOD]],' Raw Data for God Type'!A:I,2)</f>
        <v>Norse</v>
      </c>
      <c r="K98" s="4" t="str">
        <f>VLOOKUP(Table37[[#This Row],[GOD]],' Raw Data for God Type'!A:I,5)</f>
        <v>Hunter</v>
      </c>
      <c r="L98" s="4" t="str">
        <f>VLOOKUP(Table37[[#This Row],[GOD]],' Raw Data for God Type'!A:I,6)</f>
        <v>Hard</v>
      </c>
      <c r="M98" s="4" t="str">
        <f>VLOOKUP(Table37[[#This Row],[GOD]],' Raw Data for God Type'!A:I,3)</f>
        <v>Ranged</v>
      </c>
      <c r="N98" s="4" t="str">
        <f>VLOOKUP(Table37[[#This Row],[GOD]],' Raw Data for God Type'!A:I,4)</f>
        <v>Physical</v>
      </c>
      <c r="O98" s="11">
        <f>VLOOKUP(Table37[[#This Row],[GOD]],' Raw Data for God Type'!$A$2:$I$121,9)</f>
        <v>42444</v>
      </c>
      <c r="Q98">
        <v>0</v>
      </c>
      <c r="R98">
        <f t="shared" si="5"/>
        <v>1</v>
      </c>
      <c r="S98">
        <f t="shared" si="6"/>
        <v>0</v>
      </c>
      <c r="T98">
        <f t="shared" si="7"/>
        <v>0</v>
      </c>
      <c r="U98">
        <f t="shared" si="8"/>
        <v>0</v>
      </c>
      <c r="V98">
        <f t="shared" si="9"/>
        <v>0</v>
      </c>
    </row>
    <row r="99" spans="1:22" x14ac:dyDescent="0.25">
      <c r="A99" s="4" t="s">
        <v>201</v>
      </c>
      <c r="B99" s="4">
        <v>0.47310000000000002</v>
      </c>
      <c r="C99" s="4">
        <v>10847</v>
      </c>
      <c r="D99" s="4">
        <v>1.86</v>
      </c>
      <c r="E99" s="4">
        <v>10519</v>
      </c>
      <c r="F99" s="4">
        <v>444</v>
      </c>
      <c r="G99" s="4">
        <v>37773</v>
      </c>
      <c r="H99" s="5">
        <f>Table37[[#This Row],[MATCHES]]*Table37[[#This Row],[WIN RATE]]</f>
        <v>5131.7157000000007</v>
      </c>
      <c r="I99" s="5">
        <f>Table37[[#This Row],[MATCHES]]-Table37[[#This Row],[Number of wins]]</f>
        <v>5715.2842999999993</v>
      </c>
      <c r="J99" s="4" t="str">
        <f>VLOOKUP(Table37[[#This Row],[GOD]],' Raw Data for God Type'!A:I,2)</f>
        <v>Egyptian</v>
      </c>
      <c r="K99" s="4" t="str">
        <f>VLOOKUP(Table37[[#This Row],[GOD]],' Raw Data for God Type'!A:I,5)</f>
        <v>Guardian</v>
      </c>
      <c r="L99" s="4" t="str">
        <f>VLOOKUP(Table37[[#This Row],[GOD]],' Raw Data for God Type'!A:I,6)</f>
        <v>Easy</v>
      </c>
      <c r="M99" s="4" t="str">
        <f>VLOOKUP(Table37[[#This Row],[GOD]],' Raw Data for God Type'!A:I,3)</f>
        <v>Melee</v>
      </c>
      <c r="N99" s="4" t="str">
        <f>VLOOKUP(Table37[[#This Row],[GOD]],' Raw Data for God Type'!A:I,4)</f>
        <v>Magical</v>
      </c>
      <c r="O99" s="11">
        <f>VLOOKUP(Table37[[#This Row],[GOD]],' Raw Data for God Type'!$A$2:$I$121,9)</f>
        <v>41060</v>
      </c>
      <c r="Q99">
        <v>0</v>
      </c>
      <c r="R99">
        <f t="shared" si="5"/>
        <v>0</v>
      </c>
      <c r="S99">
        <f t="shared" si="6"/>
        <v>0</v>
      </c>
      <c r="T99">
        <f t="shared" si="7"/>
        <v>0</v>
      </c>
      <c r="U99">
        <f t="shared" si="8"/>
        <v>1</v>
      </c>
      <c r="V99">
        <f t="shared" si="9"/>
        <v>0</v>
      </c>
    </row>
    <row r="100" spans="1:22" x14ac:dyDescent="0.25">
      <c r="A100" s="4" t="s">
        <v>169</v>
      </c>
      <c r="B100" s="4">
        <v>0.49230000000000002</v>
      </c>
      <c r="C100" s="4">
        <v>8060</v>
      </c>
      <c r="D100" s="4">
        <v>1.43</v>
      </c>
      <c r="E100" s="4">
        <v>17532</v>
      </c>
      <c r="F100" s="4">
        <v>47</v>
      </c>
      <c r="G100" s="4">
        <v>7663</v>
      </c>
      <c r="H100" s="5">
        <f>Table37[[#This Row],[MATCHES]]*Table37[[#This Row],[WIN RATE]]</f>
        <v>3967.9380000000001</v>
      </c>
      <c r="I100" s="5">
        <f>Table37[[#This Row],[MATCHES]]-Table37[[#This Row],[Number of wins]]</f>
        <v>4092.0619999999999</v>
      </c>
      <c r="J100" s="4" t="str">
        <f>VLOOKUP(Table37[[#This Row],[GOD]],' Raw Data for God Type'!A:I,2)</f>
        <v>Norse</v>
      </c>
      <c r="K100" s="4" t="str">
        <f>VLOOKUP(Table37[[#This Row],[GOD]],' Raw Data for God Type'!A:I,5)</f>
        <v>Mage</v>
      </c>
      <c r="L100" s="4" t="str">
        <f>VLOOKUP(Table37[[#This Row],[GOD]],' Raw Data for God Type'!A:I,6)</f>
        <v>Hard</v>
      </c>
      <c r="M100" s="4" t="str">
        <f>VLOOKUP(Table37[[#This Row],[GOD]],' Raw Data for God Type'!A:I,3)</f>
        <v>Ranged</v>
      </c>
      <c r="N100" s="4" t="str">
        <f>VLOOKUP(Table37[[#This Row],[GOD]],' Raw Data for God Type'!A:I,4)</f>
        <v>Magical</v>
      </c>
      <c r="O100" s="11">
        <f>VLOOKUP(Table37[[#This Row],[GOD]],' Raw Data for God Type'!$A$2:$I$121,9)</f>
        <v>42283</v>
      </c>
      <c r="Q100">
        <v>0</v>
      </c>
      <c r="R100">
        <f t="shared" si="5"/>
        <v>0</v>
      </c>
      <c r="S100">
        <f t="shared" si="6"/>
        <v>0</v>
      </c>
      <c r="T100">
        <f t="shared" si="7"/>
        <v>1</v>
      </c>
      <c r="U100">
        <f t="shared" si="8"/>
        <v>0</v>
      </c>
      <c r="V100">
        <f t="shared" si="9"/>
        <v>0</v>
      </c>
    </row>
    <row r="101" spans="1:22" x14ac:dyDescent="0.25">
      <c r="A101" s="4" t="s">
        <v>109</v>
      </c>
      <c r="B101" s="4">
        <v>0.50819999999999999</v>
      </c>
      <c r="C101" s="4">
        <v>8274</v>
      </c>
      <c r="D101" s="4">
        <v>2.09</v>
      </c>
      <c r="E101" s="4">
        <v>16329</v>
      </c>
      <c r="F101" s="4">
        <v>64</v>
      </c>
      <c r="G101" s="4">
        <v>26887</v>
      </c>
      <c r="H101" s="5">
        <f>Table37[[#This Row],[MATCHES]]*Table37[[#This Row],[WIN RATE]]</f>
        <v>4204.8468000000003</v>
      </c>
      <c r="I101" s="5">
        <f>Table37[[#This Row],[MATCHES]]-Table37[[#This Row],[Number of wins]]</f>
        <v>4069.1531999999997</v>
      </c>
      <c r="J101" s="4" t="str">
        <f>VLOOKUP(Table37[[#This Row],[GOD]],' Raw Data for God Type'!A:I,2)</f>
        <v>Chinese</v>
      </c>
      <c r="K101" s="4" t="str">
        <f>VLOOKUP(Table37[[#This Row],[GOD]],' Raw Data for God Type'!A:I,5)</f>
        <v>Warrior</v>
      </c>
      <c r="L101" s="4" t="str">
        <f>VLOOKUP(Table37[[#This Row],[GOD]],' Raw Data for God Type'!A:I,6)</f>
        <v>Average</v>
      </c>
      <c r="M101" s="4" t="str">
        <f>VLOOKUP(Table37[[#This Row],[GOD]],' Raw Data for God Type'!A:I,3)</f>
        <v>Melee</v>
      </c>
      <c r="N101" s="4" t="str">
        <f>VLOOKUP(Table37[[#This Row],[GOD]],' Raw Data for God Type'!A:I,4)</f>
        <v>Physical</v>
      </c>
      <c r="O101" s="11">
        <f>VLOOKUP(Table37[[#This Row],[GOD]],' Raw Data for God Type'!$A$2:$I$121,9)</f>
        <v>41570</v>
      </c>
      <c r="Q101">
        <v>0</v>
      </c>
      <c r="R101">
        <f t="shared" si="5"/>
        <v>0</v>
      </c>
      <c r="S101">
        <f t="shared" si="6"/>
        <v>1</v>
      </c>
      <c r="T101">
        <f t="shared" si="7"/>
        <v>0</v>
      </c>
      <c r="U101">
        <f t="shared" si="8"/>
        <v>0</v>
      </c>
      <c r="V101">
        <f t="shared" si="9"/>
        <v>0</v>
      </c>
    </row>
    <row r="102" spans="1:22" x14ac:dyDescent="0.25">
      <c r="A102" s="4" t="s">
        <v>185</v>
      </c>
      <c r="B102" s="4">
        <v>0.4793</v>
      </c>
      <c r="C102" s="4">
        <v>6835</v>
      </c>
      <c r="D102" s="4">
        <v>1.88</v>
      </c>
      <c r="E102" s="4">
        <v>17663</v>
      </c>
      <c r="F102" s="4">
        <v>14</v>
      </c>
      <c r="G102" s="4">
        <v>10588</v>
      </c>
      <c r="H102" s="5">
        <f>Table37[[#This Row],[MATCHES]]*Table37[[#This Row],[WIN RATE]]</f>
        <v>3276.0155</v>
      </c>
      <c r="I102" s="5">
        <f>Table37[[#This Row],[MATCHES]]-Table37[[#This Row],[Number of wins]]</f>
        <v>3558.9845</v>
      </c>
      <c r="J102" s="4" t="str">
        <f>VLOOKUP(Table37[[#This Row],[GOD]],' Raw Data for God Type'!A:I,2)</f>
        <v>Japanese</v>
      </c>
      <c r="K102" s="4" t="str">
        <f>VLOOKUP(Table37[[#This Row],[GOD]],' Raw Data for God Type'!A:I,5)</f>
        <v>Assassin</v>
      </c>
      <c r="L102" s="4" t="str">
        <f>VLOOKUP(Table37[[#This Row],[GOD]],' Raw Data for God Type'!A:I,6)</f>
        <v>Hard</v>
      </c>
      <c r="M102" s="4" t="str">
        <f>VLOOKUP(Table37[[#This Row],[GOD]],' Raw Data for God Type'!A:I,3)</f>
        <v>Melee</v>
      </c>
      <c r="N102" s="4" t="str">
        <f>VLOOKUP(Table37[[#This Row],[GOD]],' Raw Data for God Type'!A:I,4)</f>
        <v>Physical</v>
      </c>
      <c r="O102" s="11">
        <f>VLOOKUP(Table37[[#This Row],[GOD]],' Raw Data for God Type'!$A$2:$I$121,9)</f>
        <v>42500</v>
      </c>
      <c r="Q102">
        <v>0</v>
      </c>
      <c r="R102">
        <f t="shared" si="5"/>
        <v>0</v>
      </c>
      <c r="S102">
        <f t="shared" si="6"/>
        <v>0</v>
      </c>
      <c r="T102">
        <f t="shared" si="7"/>
        <v>0</v>
      </c>
      <c r="U102">
        <f t="shared" si="8"/>
        <v>0</v>
      </c>
      <c r="V102">
        <f t="shared" si="9"/>
        <v>1</v>
      </c>
    </row>
    <row r="103" spans="1:22" x14ac:dyDescent="0.25">
      <c r="A103" s="4" t="s">
        <v>138</v>
      </c>
      <c r="B103" s="4">
        <v>0.50229999999999997</v>
      </c>
      <c r="C103" s="4">
        <v>12166</v>
      </c>
      <c r="D103" s="4">
        <v>1.62</v>
      </c>
      <c r="E103" s="4">
        <v>11894</v>
      </c>
      <c r="F103" s="4">
        <v>3517</v>
      </c>
      <c r="G103" s="4">
        <v>30092</v>
      </c>
      <c r="H103" s="5">
        <f>Table37[[#This Row],[MATCHES]]*Table37[[#This Row],[WIN RATE]]</f>
        <v>6110.9817999999996</v>
      </c>
      <c r="I103" s="5">
        <f>Table37[[#This Row],[MATCHES]]-Table37[[#This Row],[Number of wins]]</f>
        <v>6055.0182000000004</v>
      </c>
      <c r="J103" s="4" t="str">
        <f>VLOOKUP(Table37[[#This Row],[GOD]],' Raw Data for God Type'!A:I,2)</f>
        <v>Roman</v>
      </c>
      <c r="K103" s="4" t="str">
        <f>VLOOKUP(Table37[[#This Row],[GOD]],' Raw Data for God Type'!A:I,5)</f>
        <v>Guardian</v>
      </c>
      <c r="L103" s="4" t="str">
        <f>VLOOKUP(Table37[[#This Row],[GOD]],' Raw Data for God Type'!A:I,6)</f>
        <v>Average</v>
      </c>
      <c r="M103" s="4" t="str">
        <f>VLOOKUP(Table37[[#This Row],[GOD]],' Raw Data for God Type'!A:I,3)</f>
        <v>Ranged</v>
      </c>
      <c r="N103" s="4" t="str">
        <f>VLOOKUP(Table37[[#This Row],[GOD]],' Raw Data for God Type'!A:I,4)</f>
        <v>Magical</v>
      </c>
      <c r="O103" s="11">
        <f>VLOOKUP(Table37[[#This Row],[GOD]],' Raw Data for God Type'!$A$2:$I$121,9)</f>
        <v>41913</v>
      </c>
      <c r="Q103">
        <v>0</v>
      </c>
      <c r="R103">
        <f t="shared" si="5"/>
        <v>0</v>
      </c>
      <c r="S103">
        <f t="shared" si="6"/>
        <v>0</v>
      </c>
      <c r="T103">
        <f t="shared" si="7"/>
        <v>0</v>
      </c>
      <c r="U103">
        <f t="shared" si="8"/>
        <v>1</v>
      </c>
      <c r="V103">
        <f t="shared" si="9"/>
        <v>0</v>
      </c>
    </row>
    <row r="104" spans="1:22" x14ac:dyDescent="0.25">
      <c r="A104" s="4" t="s">
        <v>107</v>
      </c>
      <c r="B104" s="4">
        <v>0.50939999999999996</v>
      </c>
      <c r="C104" s="4">
        <v>3610</v>
      </c>
      <c r="D104" s="4">
        <v>1.94</v>
      </c>
      <c r="E104" s="4">
        <v>9658</v>
      </c>
      <c r="F104" s="4">
        <v>3487</v>
      </c>
      <c r="G104" s="4">
        <v>32498</v>
      </c>
      <c r="H104" s="5">
        <f>Table37[[#This Row],[MATCHES]]*Table37[[#This Row],[WIN RATE]]</f>
        <v>1838.934</v>
      </c>
      <c r="I104" s="5">
        <f>Table37[[#This Row],[MATCHES]]-Table37[[#This Row],[Number of wins]]</f>
        <v>1771.066</v>
      </c>
      <c r="J104" s="4" t="str">
        <f>VLOOKUP(Table37[[#This Row],[GOD]],' Raw Data for God Type'!A:I,2)</f>
        <v>Roman</v>
      </c>
      <c r="K104" s="4" t="str">
        <f>VLOOKUP(Table37[[#This Row],[GOD]],' Raw Data for God Type'!A:I,5)</f>
        <v>Guardian</v>
      </c>
      <c r="L104" s="4" t="str">
        <f>VLOOKUP(Table37[[#This Row],[GOD]],' Raw Data for God Type'!A:I,6)</f>
        <v>Hard</v>
      </c>
      <c r="M104" s="4" t="str">
        <f>VLOOKUP(Table37[[#This Row],[GOD]],' Raw Data for God Type'!A:I,3)</f>
        <v>Melee</v>
      </c>
      <c r="N104" s="4" t="str">
        <f>VLOOKUP(Table37[[#This Row],[GOD]],' Raw Data for God Type'!A:I,4)</f>
        <v>Magical</v>
      </c>
      <c r="O104" s="11">
        <f>VLOOKUP(Table37[[#This Row],[GOD]],' Raw Data for God Type'!$A$2:$I$121,9)</f>
        <v>42584</v>
      </c>
      <c r="Q104">
        <v>0</v>
      </c>
      <c r="R104">
        <f t="shared" si="5"/>
        <v>0</v>
      </c>
      <c r="S104">
        <f t="shared" si="6"/>
        <v>0</v>
      </c>
      <c r="T104">
        <f t="shared" si="7"/>
        <v>0</v>
      </c>
      <c r="U104">
        <f t="shared" si="8"/>
        <v>1</v>
      </c>
      <c r="V104">
        <f t="shared" si="9"/>
        <v>0</v>
      </c>
    </row>
    <row r="105" spans="1:22" x14ac:dyDescent="0.25">
      <c r="A105" s="4" t="s">
        <v>175</v>
      </c>
      <c r="B105" s="4">
        <v>0.4844</v>
      </c>
      <c r="C105" s="4">
        <v>16095</v>
      </c>
      <c r="D105" s="4">
        <v>1.75</v>
      </c>
      <c r="E105" s="4">
        <v>15721</v>
      </c>
      <c r="F105" s="4">
        <v>20</v>
      </c>
      <c r="G105" s="4">
        <v>11027</v>
      </c>
      <c r="H105" s="5">
        <f>Table37[[#This Row],[MATCHES]]*Table37[[#This Row],[WIN RATE]]</f>
        <v>7796.4179999999997</v>
      </c>
      <c r="I105" s="5">
        <f>Table37[[#This Row],[MATCHES]]-Table37[[#This Row],[Number of wins]]</f>
        <v>8298.5820000000003</v>
      </c>
      <c r="J105" s="4" t="str">
        <f>VLOOKUP(Table37[[#This Row],[GOD]],' Raw Data for God Type'!A:I,2)</f>
        <v>Greek</v>
      </c>
      <c r="K105" s="4" t="str">
        <f>VLOOKUP(Table37[[#This Row],[GOD]],' Raw Data for God Type'!A:I,5)</f>
        <v>Assassin</v>
      </c>
      <c r="L105" s="4" t="str">
        <f>VLOOKUP(Table37[[#This Row],[GOD]],' Raw Data for God Type'!A:I,6)</f>
        <v>Average</v>
      </c>
      <c r="M105" s="4" t="str">
        <f>VLOOKUP(Table37[[#This Row],[GOD]],' Raw Data for God Type'!A:I,3)</f>
        <v>Melee</v>
      </c>
      <c r="N105" s="4" t="str">
        <f>VLOOKUP(Table37[[#This Row],[GOD]],' Raw Data for God Type'!A:I,4)</f>
        <v>Physical</v>
      </c>
      <c r="O105" s="11">
        <f>VLOOKUP(Table37[[#This Row],[GOD]],' Raw Data for God Type'!$A$2:$I$121,9)</f>
        <v>41535</v>
      </c>
      <c r="Q105">
        <v>0</v>
      </c>
      <c r="R105">
        <f t="shared" si="5"/>
        <v>0</v>
      </c>
      <c r="S105">
        <f t="shared" si="6"/>
        <v>0</v>
      </c>
      <c r="T105">
        <f t="shared" si="7"/>
        <v>0</v>
      </c>
      <c r="U105">
        <f t="shared" si="8"/>
        <v>0</v>
      </c>
      <c r="V105">
        <f t="shared" si="9"/>
        <v>1</v>
      </c>
    </row>
    <row r="106" spans="1:22" x14ac:dyDescent="0.25">
      <c r="A106" s="4" t="s">
        <v>193</v>
      </c>
      <c r="B106" s="4">
        <v>0.47739999999999999</v>
      </c>
      <c r="C106" s="4">
        <v>4661</v>
      </c>
      <c r="D106" s="4">
        <v>1.56</v>
      </c>
      <c r="E106" s="4">
        <v>15865</v>
      </c>
      <c r="F106" s="4">
        <v>102</v>
      </c>
      <c r="G106" s="4">
        <v>6499</v>
      </c>
      <c r="H106" s="5">
        <f>Table37[[#This Row],[MATCHES]]*Table37[[#This Row],[WIN RATE]]</f>
        <v>2225.1614</v>
      </c>
      <c r="I106" s="5">
        <f>Table37[[#This Row],[MATCHES]]-Table37[[#This Row],[Number of wins]]</f>
        <v>2435.8386</v>
      </c>
      <c r="J106" s="4" t="str">
        <f>VLOOKUP(Table37[[#This Row],[GOD]],' Raw Data for God Type'!A:I,2)</f>
        <v>Celtic</v>
      </c>
      <c r="K106" s="4" t="str">
        <f>VLOOKUP(Table37[[#This Row],[GOD]],' Raw Data for God Type'!A:I,5)</f>
        <v>Mage</v>
      </c>
      <c r="L106" s="4" t="str">
        <f>VLOOKUP(Table37[[#This Row],[GOD]],' Raw Data for God Type'!A:I,6)</f>
        <v>Very Hard</v>
      </c>
      <c r="M106" s="4" t="str">
        <f>VLOOKUP(Table37[[#This Row],[GOD]],' Raw Data for God Type'!A:I,3)</f>
        <v>Ranged</v>
      </c>
      <c r="N106" s="4" t="str">
        <f>VLOOKUP(Table37[[#This Row],[GOD]],' Raw Data for God Type'!A:I,4)</f>
        <v>Magical</v>
      </c>
      <c r="O106" s="11">
        <f>VLOOKUP(Table37[[#This Row],[GOD]],' Raw Data for God Type'!$A$2:$I$121,9)</f>
        <v>42745</v>
      </c>
      <c r="Q106">
        <v>0</v>
      </c>
      <c r="R106">
        <f t="shared" si="5"/>
        <v>0</v>
      </c>
      <c r="S106">
        <f t="shared" si="6"/>
        <v>0</v>
      </c>
      <c r="T106">
        <f t="shared" si="7"/>
        <v>1</v>
      </c>
      <c r="U106">
        <f t="shared" si="8"/>
        <v>0</v>
      </c>
      <c r="V106">
        <f t="shared" si="9"/>
        <v>0</v>
      </c>
    </row>
    <row r="107" spans="1:22" x14ac:dyDescent="0.25">
      <c r="A107" s="4" t="s">
        <v>233</v>
      </c>
      <c r="B107" s="4">
        <v>0.45679999999999998</v>
      </c>
      <c r="C107" s="4">
        <v>7566</v>
      </c>
      <c r="D107" s="4">
        <v>1.78</v>
      </c>
      <c r="E107" s="4">
        <v>14672</v>
      </c>
      <c r="F107" s="4">
        <v>29</v>
      </c>
      <c r="G107" s="4">
        <v>11619</v>
      </c>
      <c r="H107" s="5">
        <f>Table37[[#This Row],[MATCHES]]*Table37[[#This Row],[WIN RATE]]</f>
        <v>3456.1487999999999</v>
      </c>
      <c r="I107" s="5">
        <f>Table37[[#This Row],[MATCHES]]-Table37[[#This Row],[Number of wins]]</f>
        <v>4109.8512000000001</v>
      </c>
      <c r="J107" s="4" t="str">
        <f>VLOOKUP(Table37[[#This Row],[GOD]],' Raw Data for God Type'!A:I,2)</f>
        <v>Norse</v>
      </c>
      <c r="K107" s="4" t="str">
        <f>VLOOKUP(Table37[[#This Row],[GOD]],' Raw Data for God Type'!A:I,5)</f>
        <v>Assassin</v>
      </c>
      <c r="L107" s="4" t="str">
        <f>VLOOKUP(Table37[[#This Row],[GOD]],' Raw Data for God Type'!A:I,6)</f>
        <v>Hard</v>
      </c>
      <c r="M107" s="4" t="str">
        <f>VLOOKUP(Table37[[#This Row],[GOD]],' Raw Data for God Type'!A:I,3)</f>
        <v>Melee</v>
      </c>
      <c r="N107" s="4" t="str">
        <f>VLOOKUP(Table37[[#This Row],[GOD]],' Raw Data for God Type'!A:I,4)</f>
        <v>Physical</v>
      </c>
      <c r="O107" s="11">
        <f>VLOOKUP(Table37[[#This Row],[GOD]],' Raw Data for God Type'!$A$2:$I$121,9)</f>
        <v>41158</v>
      </c>
      <c r="Q107">
        <v>0</v>
      </c>
      <c r="R107">
        <f t="shared" si="5"/>
        <v>0</v>
      </c>
      <c r="S107">
        <f t="shared" si="6"/>
        <v>0</v>
      </c>
      <c r="T107">
        <f t="shared" si="7"/>
        <v>0</v>
      </c>
      <c r="U107">
        <f t="shared" si="8"/>
        <v>0</v>
      </c>
      <c r="V107">
        <f t="shared" si="9"/>
        <v>1</v>
      </c>
    </row>
    <row r="108" spans="1:22" x14ac:dyDescent="0.25">
      <c r="A108" s="4" t="s">
        <v>241</v>
      </c>
      <c r="B108" s="4">
        <v>0.43830000000000002</v>
      </c>
      <c r="C108" s="4">
        <v>5435</v>
      </c>
      <c r="D108" s="4">
        <v>1.36</v>
      </c>
      <c r="E108" s="4">
        <v>15616</v>
      </c>
      <c r="F108" s="4">
        <v>53</v>
      </c>
      <c r="G108" s="4">
        <v>5570</v>
      </c>
      <c r="H108" s="5">
        <f>Table37[[#This Row],[MATCHES]]*Table37[[#This Row],[WIN RATE]]</f>
        <v>2382.1605</v>
      </c>
      <c r="I108" s="5">
        <f>Table37[[#This Row],[MATCHES]]-Table37[[#This Row],[Number of wins]]</f>
        <v>3052.8395</v>
      </c>
      <c r="J108" s="4" t="str">
        <f>VLOOKUP(Table37[[#This Row],[GOD]],' Raw Data for God Type'!A:I,2)</f>
        <v>Egyptian</v>
      </c>
      <c r="K108" s="4" t="str">
        <f>VLOOKUP(Table37[[#This Row],[GOD]],' Raw Data for God Type'!A:I,5)</f>
        <v>Mage</v>
      </c>
      <c r="L108" s="4" t="str">
        <f>VLOOKUP(Table37[[#This Row],[GOD]],' Raw Data for God Type'!A:I,6)</f>
        <v>Average</v>
      </c>
      <c r="M108" s="4" t="str">
        <f>VLOOKUP(Table37[[#This Row],[GOD]],' Raw Data for God Type'!A:I,3)</f>
        <v>Ranged</v>
      </c>
      <c r="N108" s="4" t="str">
        <f>VLOOKUP(Table37[[#This Row],[GOD]],' Raw Data for God Type'!A:I,4)</f>
        <v>Magical</v>
      </c>
      <c r="O108" s="11">
        <f>VLOOKUP(Table37[[#This Row],[GOD]],' Raw Data for God Type'!$A$2:$I$121,9)</f>
        <v>42682</v>
      </c>
      <c r="Q108">
        <v>0</v>
      </c>
      <c r="R108">
        <f t="shared" si="5"/>
        <v>0</v>
      </c>
      <c r="S108">
        <f t="shared" si="6"/>
        <v>0</v>
      </c>
      <c r="T108">
        <f t="shared" si="7"/>
        <v>1</v>
      </c>
      <c r="U108">
        <f t="shared" si="8"/>
        <v>0</v>
      </c>
      <c r="V108">
        <f t="shared" si="9"/>
        <v>0</v>
      </c>
    </row>
    <row r="109" spans="1:22" x14ac:dyDescent="0.25">
      <c r="A109" s="4" t="s">
        <v>195</v>
      </c>
      <c r="B109" s="4">
        <v>0.47670000000000001</v>
      </c>
      <c r="C109" s="4">
        <v>6812</v>
      </c>
      <c r="D109" s="4">
        <v>1.54</v>
      </c>
      <c r="E109" s="4">
        <v>17516</v>
      </c>
      <c r="F109" s="4">
        <v>148</v>
      </c>
      <c r="G109" s="4">
        <v>14226</v>
      </c>
      <c r="H109" s="5">
        <f>Table37[[#This Row],[MATCHES]]*Table37[[#This Row],[WIN RATE]]</f>
        <v>3247.2804000000001</v>
      </c>
      <c r="I109" s="5">
        <f>Table37[[#This Row],[MATCHES]]-Table37[[#This Row],[Number of wins]]</f>
        <v>3564.7195999999999</v>
      </c>
      <c r="J109" s="4" t="str">
        <f>VLOOKUP(Table37[[#This Row],[GOD]],' Raw Data for God Type'!A:I,2)</f>
        <v>Babylonian</v>
      </c>
      <c r="K109" s="4" t="str">
        <f>VLOOKUP(Table37[[#This Row],[GOD]],' Raw Data for God Type'!A:I,5)</f>
        <v>Mage</v>
      </c>
      <c r="L109" s="4" t="str">
        <f>VLOOKUP(Table37[[#This Row],[GOD]],' Raw Data for God Type'!A:I,6)</f>
        <v>Hard</v>
      </c>
      <c r="M109" s="4" t="str">
        <f>VLOOKUP(Table37[[#This Row],[GOD]],' Raw Data for God Type'!A:I,3)</f>
        <v>Ranged</v>
      </c>
      <c r="N109" s="4" t="str">
        <f>VLOOKUP(Table37[[#This Row],[GOD]],' Raw Data for God Type'!A:I,4)</f>
        <v>Magical</v>
      </c>
      <c r="O109" s="11">
        <f>VLOOKUP(Table37[[#This Row],[GOD]],' Raw Data for God Type'!$A$2:$I$121,9)</f>
        <v>44250</v>
      </c>
      <c r="Q109">
        <v>0</v>
      </c>
      <c r="R109">
        <f t="shared" si="5"/>
        <v>0</v>
      </c>
      <c r="S109">
        <f t="shared" si="6"/>
        <v>0</v>
      </c>
      <c r="T109">
        <f t="shared" si="7"/>
        <v>1</v>
      </c>
      <c r="U109">
        <f t="shared" si="8"/>
        <v>0</v>
      </c>
      <c r="V109">
        <f t="shared" si="9"/>
        <v>0</v>
      </c>
    </row>
    <row r="110" spans="1:22" x14ac:dyDescent="0.25">
      <c r="A110" s="4" t="s">
        <v>117</v>
      </c>
      <c r="B110" s="4">
        <v>0.50739999999999996</v>
      </c>
      <c r="C110" s="4">
        <v>8888</v>
      </c>
      <c r="D110" s="4">
        <v>1.65</v>
      </c>
      <c r="E110" s="4">
        <v>18798</v>
      </c>
      <c r="F110" s="4">
        <v>23</v>
      </c>
      <c r="G110" s="4">
        <v>12219</v>
      </c>
      <c r="H110" s="5">
        <f>Table37[[#This Row],[MATCHES]]*Table37[[#This Row],[WIN RATE]]</f>
        <v>4509.7711999999992</v>
      </c>
      <c r="I110" s="5">
        <f>Table37[[#This Row],[MATCHES]]-Table37[[#This Row],[Number of wins]]</f>
        <v>4378.2288000000008</v>
      </c>
      <c r="J110" s="4" t="str">
        <f>VLOOKUP(Table37[[#This Row],[GOD]],' Raw Data for God Type'!A:I,2)</f>
        <v>Japanese</v>
      </c>
      <c r="K110" s="4" t="str">
        <f>VLOOKUP(Table37[[#This Row],[GOD]],' Raw Data for God Type'!A:I,5)</f>
        <v>Assassin</v>
      </c>
      <c r="L110" s="4" t="str">
        <f>VLOOKUP(Table37[[#This Row],[GOD]],' Raw Data for God Type'!A:I,6)</f>
        <v>Average</v>
      </c>
      <c r="M110" s="4" t="str">
        <f>VLOOKUP(Table37[[#This Row],[GOD]],' Raw Data for God Type'!A:I,3)</f>
        <v>Melee</v>
      </c>
      <c r="N110" s="4" t="str">
        <f>VLOOKUP(Table37[[#This Row],[GOD]],' Raw Data for God Type'!A:I,4)</f>
        <v>Physical</v>
      </c>
      <c r="O110" s="11">
        <f>VLOOKUP(Table37[[#This Row],[GOD]],' Raw Data for God Type'!$A$2:$I$121,9)</f>
        <v>44054</v>
      </c>
      <c r="Q110">
        <v>0</v>
      </c>
      <c r="R110">
        <f t="shared" si="5"/>
        <v>0</v>
      </c>
      <c r="S110">
        <f t="shared" si="6"/>
        <v>0</v>
      </c>
      <c r="T110">
        <f t="shared" si="7"/>
        <v>0</v>
      </c>
      <c r="U110">
        <f t="shared" si="8"/>
        <v>0</v>
      </c>
      <c r="V110">
        <f t="shared" si="9"/>
        <v>1</v>
      </c>
    </row>
    <row r="111" spans="1:22" x14ac:dyDescent="0.25">
      <c r="A111" s="4" t="s">
        <v>223</v>
      </c>
      <c r="B111" s="4">
        <v>0.46310000000000001</v>
      </c>
      <c r="C111" s="4">
        <v>9400</v>
      </c>
      <c r="D111" s="4">
        <v>1.79</v>
      </c>
      <c r="E111" s="4">
        <v>14863</v>
      </c>
      <c r="F111" s="4">
        <v>58</v>
      </c>
      <c r="G111" s="4">
        <v>30278</v>
      </c>
      <c r="H111" s="5">
        <f>Table37[[#This Row],[MATCHES]]*Table37[[#This Row],[WIN RATE]]</f>
        <v>4353.1400000000003</v>
      </c>
      <c r="I111" s="5">
        <f>Table37[[#This Row],[MATCHES]]-Table37[[#This Row],[Number of wins]]</f>
        <v>5046.8599999999997</v>
      </c>
      <c r="J111" s="4" t="str">
        <f>VLOOKUP(Table37[[#This Row],[GOD]],' Raw Data for God Type'!A:I,2)</f>
        <v>Norse</v>
      </c>
      <c r="K111" s="4" t="str">
        <f>VLOOKUP(Table37[[#This Row],[GOD]],' Raw Data for God Type'!A:I,5)</f>
        <v>Warrior</v>
      </c>
      <c r="L111" s="4" t="str">
        <f>VLOOKUP(Table37[[#This Row],[GOD]],' Raw Data for God Type'!A:I,6)</f>
        <v>Hard</v>
      </c>
      <c r="M111" s="4" t="str">
        <f>VLOOKUP(Table37[[#This Row],[GOD]],' Raw Data for God Type'!A:I,3)</f>
        <v>Melee</v>
      </c>
      <c r="N111" s="4" t="str">
        <f>VLOOKUP(Table37[[#This Row],[GOD]],' Raw Data for God Type'!A:I,4)</f>
        <v>Physical</v>
      </c>
      <c r="O111" s="11">
        <f>VLOOKUP(Table37[[#This Row],[GOD]],' Raw Data for God Type'!$A$2:$I$121,9)</f>
        <v>41493</v>
      </c>
      <c r="Q111">
        <v>0</v>
      </c>
      <c r="R111">
        <f t="shared" si="5"/>
        <v>0</v>
      </c>
      <c r="S111">
        <f t="shared" si="6"/>
        <v>1</v>
      </c>
      <c r="T111">
        <f t="shared" si="7"/>
        <v>0</v>
      </c>
      <c r="U111">
        <f t="shared" si="8"/>
        <v>0</v>
      </c>
      <c r="V111">
        <f t="shared" si="9"/>
        <v>0</v>
      </c>
    </row>
    <row r="112" spans="1:22" x14ac:dyDescent="0.25">
      <c r="A112" s="4" t="s">
        <v>217</v>
      </c>
      <c r="B112" s="4">
        <v>0.47060000000000002</v>
      </c>
      <c r="C112" s="4">
        <v>15960</v>
      </c>
      <c r="D112" s="4">
        <v>1.67</v>
      </c>
      <c r="E112" s="4">
        <v>15963</v>
      </c>
      <c r="F112" s="4">
        <v>14</v>
      </c>
      <c r="G112" s="4">
        <v>8255</v>
      </c>
      <c r="H112" s="5">
        <f>Table37[[#This Row],[MATCHES]]*Table37[[#This Row],[WIN RATE]]</f>
        <v>7510.7759999999998</v>
      </c>
      <c r="I112" s="5">
        <f>Table37[[#This Row],[MATCHES]]-Table37[[#This Row],[Number of wins]]</f>
        <v>8449.2240000000002</v>
      </c>
      <c r="J112" s="4" t="str">
        <f>VLOOKUP(Table37[[#This Row],[GOD]],' Raw Data for God Type'!A:I,2)</f>
        <v>Norse</v>
      </c>
      <c r="K112" s="4" t="str">
        <f>VLOOKUP(Table37[[#This Row],[GOD]],' Raw Data for God Type'!A:I,5)</f>
        <v>Hunter</v>
      </c>
      <c r="L112" s="4" t="str">
        <f>VLOOKUP(Table37[[#This Row],[GOD]],' Raw Data for God Type'!A:I,6)</f>
        <v>Hard</v>
      </c>
      <c r="M112" s="4" t="str">
        <f>VLOOKUP(Table37[[#This Row],[GOD]],' Raw Data for God Type'!A:I,3)</f>
        <v>Ranged</v>
      </c>
      <c r="N112" s="4" t="str">
        <f>VLOOKUP(Table37[[#This Row],[GOD]],' Raw Data for God Type'!A:I,4)</f>
        <v>Physical</v>
      </c>
      <c r="O112" s="11">
        <f>VLOOKUP(Table37[[#This Row],[GOD]],' Raw Data for God Type'!$A$2:$I$121,9)</f>
        <v>41717</v>
      </c>
      <c r="Q112">
        <v>0</v>
      </c>
      <c r="R112">
        <f t="shared" si="5"/>
        <v>1</v>
      </c>
      <c r="S112">
        <f t="shared" si="6"/>
        <v>0</v>
      </c>
      <c r="T112">
        <f t="shared" si="7"/>
        <v>0</v>
      </c>
      <c r="U112">
        <f t="shared" si="8"/>
        <v>0</v>
      </c>
      <c r="V112">
        <f t="shared" si="9"/>
        <v>0</v>
      </c>
    </row>
    <row r="113" spans="1:22" x14ac:dyDescent="0.25">
      <c r="A113" s="4" t="s">
        <v>28</v>
      </c>
      <c r="B113" s="4">
        <v>0.54169999999999996</v>
      </c>
      <c r="C113" s="4">
        <v>5546</v>
      </c>
      <c r="D113" s="4">
        <v>1.96</v>
      </c>
      <c r="E113" s="4">
        <v>18301</v>
      </c>
      <c r="F113" s="4">
        <v>85</v>
      </c>
      <c r="G113" s="4">
        <v>30570</v>
      </c>
      <c r="H113" s="5">
        <f>Table37[[#This Row],[MATCHES]]*Table37[[#This Row],[WIN RATE]]</f>
        <v>3004.2682</v>
      </c>
      <c r="I113" s="5">
        <f>Table37[[#This Row],[MATCHES]]-Table37[[#This Row],[Number of wins]]</f>
        <v>2541.7318</v>
      </c>
      <c r="J113" s="4" t="str">
        <f>VLOOKUP(Table37[[#This Row],[GOD]],' Raw Data for God Type'!A:I,2)</f>
        <v>Hindu</v>
      </c>
      <c r="K113" s="4" t="str">
        <f>VLOOKUP(Table37[[#This Row],[GOD]],' Raw Data for God Type'!A:I,5)</f>
        <v>Warrior</v>
      </c>
      <c r="L113" s="4" t="str">
        <f>VLOOKUP(Table37[[#This Row],[GOD]],' Raw Data for God Type'!A:I,6)</f>
        <v>Average</v>
      </c>
      <c r="M113" s="4" t="str">
        <f>VLOOKUP(Table37[[#This Row],[GOD]],' Raw Data for God Type'!A:I,3)</f>
        <v>Melee</v>
      </c>
      <c r="N113" s="4" t="str">
        <f>VLOOKUP(Table37[[#This Row],[GOD]],' Raw Data for God Type'!A:I,4)</f>
        <v>Physical</v>
      </c>
      <c r="O113" s="11">
        <f>VLOOKUP(Table37[[#This Row],[GOD]],' Raw Data for God Type'!$A$2:$I$121,9)</f>
        <v>41060</v>
      </c>
      <c r="Q113">
        <v>0</v>
      </c>
      <c r="R113">
        <f t="shared" si="5"/>
        <v>0</v>
      </c>
      <c r="S113">
        <f t="shared" si="6"/>
        <v>1</v>
      </c>
      <c r="T113">
        <f t="shared" si="7"/>
        <v>0</v>
      </c>
      <c r="U113">
        <f t="shared" si="8"/>
        <v>0</v>
      </c>
      <c r="V113">
        <f t="shared" si="9"/>
        <v>0</v>
      </c>
    </row>
    <row r="114" spans="1:22" x14ac:dyDescent="0.25">
      <c r="A114" s="4" t="s">
        <v>84</v>
      </c>
      <c r="B114" s="4">
        <v>0.51470000000000005</v>
      </c>
      <c r="C114" s="4">
        <v>5603</v>
      </c>
      <c r="D114" s="4">
        <v>1.5</v>
      </c>
      <c r="E114" s="4">
        <v>20739</v>
      </c>
      <c r="F114" s="4">
        <v>74</v>
      </c>
      <c r="G114" s="4">
        <v>6583</v>
      </c>
      <c r="H114" s="5">
        <f>Table37[[#This Row],[MATCHES]]*Table37[[#This Row],[WIN RATE]]</f>
        <v>2883.8641000000002</v>
      </c>
      <c r="I114" s="5">
        <f>Table37[[#This Row],[MATCHES]]-Table37[[#This Row],[Number of wins]]</f>
        <v>2719.1358999999998</v>
      </c>
      <c r="J114" s="4" t="str">
        <f>VLOOKUP(Table37[[#This Row],[GOD]],' Raw Data for God Type'!A:I,2)</f>
        <v>Roman</v>
      </c>
      <c r="K114" s="4" t="str">
        <f>VLOOKUP(Table37[[#This Row],[GOD]],' Raw Data for God Type'!A:I,5)</f>
        <v>Mage</v>
      </c>
      <c r="L114" s="4" t="str">
        <f>VLOOKUP(Table37[[#This Row],[GOD]],' Raw Data for God Type'!A:I,6)</f>
        <v>Average</v>
      </c>
      <c r="M114" s="4" t="str">
        <f>VLOOKUP(Table37[[#This Row],[GOD]],' Raw Data for God Type'!A:I,3)</f>
        <v>Ranged</v>
      </c>
      <c r="N114" s="4" t="str">
        <f>VLOOKUP(Table37[[#This Row],[GOD]],' Raw Data for God Type'!A:I,4)</f>
        <v>Magical</v>
      </c>
      <c r="O114" s="11">
        <f>VLOOKUP(Table37[[#This Row],[GOD]],' Raw Data for God Type'!$A$2:$I$121,9)</f>
        <v>41304</v>
      </c>
      <c r="Q114">
        <v>0</v>
      </c>
      <c r="R114">
        <f t="shared" si="5"/>
        <v>0</v>
      </c>
      <c r="S114">
        <f t="shared" si="6"/>
        <v>0</v>
      </c>
      <c r="T114">
        <f t="shared" si="7"/>
        <v>1</v>
      </c>
      <c r="U114">
        <f t="shared" si="8"/>
        <v>0</v>
      </c>
      <c r="V114">
        <f t="shared" si="9"/>
        <v>0</v>
      </c>
    </row>
    <row r="115" spans="1:22" x14ac:dyDescent="0.25">
      <c r="A115" s="4" t="s">
        <v>12</v>
      </c>
      <c r="B115" s="4">
        <v>0.5504</v>
      </c>
      <c r="C115" s="4">
        <v>7693</v>
      </c>
      <c r="D115" s="4">
        <v>1.7</v>
      </c>
      <c r="E115" s="4">
        <v>19638</v>
      </c>
      <c r="F115" s="4">
        <v>30</v>
      </c>
      <c r="G115" s="4">
        <v>8084</v>
      </c>
      <c r="H115" s="5">
        <f>Table37[[#This Row],[MATCHES]]*Table37[[#This Row],[WIN RATE]]</f>
        <v>4234.2272000000003</v>
      </c>
      <c r="I115" s="5">
        <f>Table37[[#This Row],[MATCHES]]-Table37[[#This Row],[Number of wins]]</f>
        <v>3458.7727999999997</v>
      </c>
      <c r="J115" s="4" t="str">
        <f>VLOOKUP(Table37[[#This Row],[GOD]],' Raw Data for God Type'!A:I,2)</f>
        <v>Maya</v>
      </c>
      <c r="K115" s="4" t="str">
        <f>VLOOKUP(Table37[[#This Row],[GOD]],' Raw Data for God Type'!A:I,5)</f>
        <v>Hunter</v>
      </c>
      <c r="L115" s="4" t="str">
        <f>VLOOKUP(Table37[[#This Row],[GOD]],' Raw Data for God Type'!A:I,6)</f>
        <v>Average</v>
      </c>
      <c r="M115" s="4" t="str">
        <f>VLOOKUP(Table37[[#This Row],[GOD]],' Raw Data for God Type'!A:I,3)</f>
        <v>Ranged</v>
      </c>
      <c r="N115" s="4" t="str">
        <f>VLOOKUP(Table37[[#This Row],[GOD]],' Raw Data for God Type'!A:I,4)</f>
        <v>Physical</v>
      </c>
      <c r="O115" s="11">
        <f>VLOOKUP(Table37[[#This Row],[GOD]],' Raw Data for God Type'!$A$2:$I$121,9)</f>
        <v>41264</v>
      </c>
      <c r="Q115">
        <v>1</v>
      </c>
      <c r="R115">
        <f t="shared" si="5"/>
        <v>1</v>
      </c>
      <c r="S115">
        <f t="shared" si="6"/>
        <v>0</v>
      </c>
      <c r="T115">
        <f t="shared" si="7"/>
        <v>0</v>
      </c>
      <c r="U115">
        <f t="shared" si="8"/>
        <v>0</v>
      </c>
      <c r="V115">
        <f t="shared" si="9"/>
        <v>0</v>
      </c>
    </row>
    <row r="116" spans="1:22" x14ac:dyDescent="0.25">
      <c r="A116" s="4" t="s">
        <v>56</v>
      </c>
      <c r="B116" s="4">
        <v>0.52859999999999996</v>
      </c>
      <c r="C116" s="4">
        <v>6035</v>
      </c>
      <c r="D116" s="4">
        <v>2.23</v>
      </c>
      <c r="E116" s="4">
        <v>12135</v>
      </c>
      <c r="F116" s="4">
        <v>489</v>
      </c>
      <c r="G116" s="4">
        <v>33695</v>
      </c>
      <c r="H116" s="5">
        <f>Table37[[#This Row],[MATCHES]]*Table37[[#This Row],[WIN RATE]]</f>
        <v>3190.1009999999997</v>
      </c>
      <c r="I116" s="5">
        <f>Table37[[#This Row],[MATCHES]]-Table37[[#This Row],[Number of wins]]</f>
        <v>2844.8990000000003</v>
      </c>
      <c r="J116" s="4" t="str">
        <f>VLOOKUP(Table37[[#This Row],[GOD]],' Raw Data for God Type'!A:I,2)</f>
        <v>Chinese</v>
      </c>
      <c r="K116" s="4" t="str">
        <f>VLOOKUP(Table37[[#This Row],[GOD]],' Raw Data for God Type'!A:I,5)</f>
        <v>Guardian</v>
      </c>
      <c r="L116" s="4" t="str">
        <f>VLOOKUP(Table37[[#This Row],[GOD]],' Raw Data for God Type'!A:I,6)</f>
        <v>Average</v>
      </c>
      <c r="M116" s="4" t="str">
        <f>VLOOKUP(Table37[[#This Row],[GOD]],' Raw Data for God Type'!A:I,3)</f>
        <v>Melee</v>
      </c>
      <c r="N116" s="4" t="str">
        <f>VLOOKUP(Table37[[#This Row],[GOD]],' Raw Data for God Type'!A:I,4)</f>
        <v>Magical</v>
      </c>
      <c r="O116" s="11">
        <f>VLOOKUP(Table37[[#This Row],[GOD]],' Raw Data for God Type'!$A$2:$I$121,9)</f>
        <v>42248</v>
      </c>
      <c r="Q116">
        <v>0</v>
      </c>
      <c r="R116">
        <f t="shared" si="5"/>
        <v>0</v>
      </c>
      <c r="S116">
        <f t="shared" si="6"/>
        <v>0</v>
      </c>
      <c r="T116">
        <f t="shared" si="7"/>
        <v>0</v>
      </c>
      <c r="U116">
        <f t="shared" si="8"/>
        <v>1</v>
      </c>
      <c r="V116">
        <f t="shared" si="9"/>
        <v>0</v>
      </c>
    </row>
    <row r="117" spans="1:22" x14ac:dyDescent="0.25">
      <c r="A117" s="4" t="s">
        <v>213</v>
      </c>
      <c r="B117" s="4">
        <v>0.47139999999999999</v>
      </c>
      <c r="C117" s="4">
        <v>5934</v>
      </c>
      <c r="D117" s="4">
        <v>1.89</v>
      </c>
      <c r="E117" s="4">
        <v>8160</v>
      </c>
      <c r="F117" s="4">
        <v>4603</v>
      </c>
      <c r="G117" s="4">
        <v>26152</v>
      </c>
      <c r="H117" s="5">
        <f>Table37[[#This Row],[MATCHES]]*Table37[[#This Row],[WIN RATE]]</f>
        <v>2797.2876000000001</v>
      </c>
      <c r="I117" s="5">
        <f>Table37[[#This Row],[MATCHES]]-Table37[[#This Row],[Number of wins]]</f>
        <v>3136.7123999999999</v>
      </c>
      <c r="J117" s="4" t="str">
        <f>VLOOKUP(Table37[[#This Row],[GOD]],' Raw Data for God Type'!A:I,2)</f>
        <v>Yoruba</v>
      </c>
      <c r="K117" s="4" t="str">
        <f>VLOOKUP(Table37[[#This Row],[GOD]],' Raw Data for God Type'!A:I,5)</f>
        <v>Guardian</v>
      </c>
      <c r="L117" s="4" t="str">
        <f>VLOOKUP(Table37[[#This Row],[GOD]],' Raw Data for God Type'!A:I,6)</f>
        <v>Average</v>
      </c>
      <c r="M117" s="4" t="str">
        <f>VLOOKUP(Table37[[#This Row],[GOD]],' Raw Data for God Type'!A:I,3)</f>
        <v>Ranged</v>
      </c>
      <c r="N117" s="4" t="str">
        <f>VLOOKUP(Table37[[#This Row],[GOD]],' Raw Data for God Type'!A:I,4)</f>
        <v>Magical</v>
      </c>
      <c r="O117" s="11">
        <f>VLOOKUP(Table37[[#This Row],[GOD]],' Raw Data for God Type'!$A$2:$I$121,9)</f>
        <v>43753</v>
      </c>
      <c r="Q117">
        <v>0</v>
      </c>
      <c r="R117">
        <f t="shared" si="5"/>
        <v>0</v>
      </c>
      <c r="S117">
        <f t="shared" si="6"/>
        <v>0</v>
      </c>
      <c r="T117">
        <f t="shared" si="7"/>
        <v>0</v>
      </c>
      <c r="U117">
        <f t="shared" si="8"/>
        <v>1</v>
      </c>
      <c r="V117">
        <f t="shared" si="9"/>
        <v>0</v>
      </c>
    </row>
    <row r="118" spans="1:22" x14ac:dyDescent="0.25">
      <c r="A118" s="4" t="s">
        <v>113</v>
      </c>
      <c r="B118" s="4">
        <v>0.50790000000000002</v>
      </c>
      <c r="C118" s="4">
        <v>19262</v>
      </c>
      <c r="D118" s="4">
        <v>1.71</v>
      </c>
      <c r="E118" s="4">
        <v>10366</v>
      </c>
      <c r="F118" s="4">
        <v>406</v>
      </c>
      <c r="G118" s="4">
        <v>29738</v>
      </c>
      <c r="H118" s="5">
        <f>Table37[[#This Row],[MATCHES]]*Table37[[#This Row],[WIN RATE]]</f>
        <v>9783.1697999999997</v>
      </c>
      <c r="I118" s="5">
        <f>Table37[[#This Row],[MATCHES]]-Table37[[#This Row],[Number of wins]]</f>
        <v>9478.8302000000003</v>
      </c>
      <c r="J118" s="4" t="str">
        <f>VLOOKUP(Table37[[#This Row],[GOD]],' Raw Data for God Type'!A:I,2)</f>
        <v>Norse</v>
      </c>
      <c r="K118" s="4" t="str">
        <f>VLOOKUP(Table37[[#This Row],[GOD]],' Raw Data for God Type'!A:I,5)</f>
        <v>Guardian</v>
      </c>
      <c r="L118" s="4" t="str">
        <f>VLOOKUP(Table37[[#This Row],[GOD]],' Raw Data for God Type'!A:I,6)</f>
        <v>Easy</v>
      </c>
      <c r="M118" s="4" t="str">
        <f>VLOOKUP(Table37[[#This Row],[GOD]],' Raw Data for God Type'!A:I,3)</f>
        <v>Melee</v>
      </c>
      <c r="N118" s="4" t="str">
        <f>VLOOKUP(Table37[[#This Row],[GOD]],' Raw Data for God Type'!A:I,4)</f>
        <v>Magical</v>
      </c>
      <c r="O118" s="11">
        <f>VLOOKUP(Table37[[#This Row],[GOD]],' Raw Data for God Type'!$A$2:$I$121,9)</f>
        <v>41060</v>
      </c>
      <c r="Q118">
        <v>0</v>
      </c>
      <c r="R118">
        <f t="shared" si="5"/>
        <v>0</v>
      </c>
      <c r="S118">
        <f t="shared" si="6"/>
        <v>0</v>
      </c>
      <c r="T118">
        <f t="shared" si="7"/>
        <v>0</v>
      </c>
      <c r="U118">
        <f t="shared" si="8"/>
        <v>1</v>
      </c>
      <c r="V118">
        <f t="shared" si="9"/>
        <v>0</v>
      </c>
    </row>
    <row r="119" spans="1:22" x14ac:dyDescent="0.25">
      <c r="A119" s="4" t="s">
        <v>237</v>
      </c>
      <c r="B119" s="4">
        <v>0.4506</v>
      </c>
      <c r="C119" s="4">
        <v>78602</v>
      </c>
      <c r="D119" s="4">
        <v>1.4</v>
      </c>
      <c r="E119" s="4">
        <v>16226</v>
      </c>
      <c r="F119" s="4">
        <v>99</v>
      </c>
      <c r="G119" s="4">
        <v>7452</v>
      </c>
      <c r="H119" s="5">
        <f>Table37[[#This Row],[MATCHES]]*Table37[[#This Row],[WIN RATE]]</f>
        <v>35418.061199999996</v>
      </c>
      <c r="I119" s="5">
        <f>Table37[[#This Row],[MATCHES]]-Table37[[#This Row],[Number of wins]]</f>
        <v>43183.938800000004</v>
      </c>
      <c r="J119" s="4" t="str">
        <f>VLOOKUP(Table37[[#This Row],[GOD]],' Raw Data for God Type'!A:I,2)</f>
        <v>Chinese</v>
      </c>
      <c r="K119" s="4" t="str">
        <f>VLOOKUP(Table37[[#This Row],[GOD]],' Raw Data for God Type'!A:I,5)</f>
        <v>Mage</v>
      </c>
      <c r="L119" s="4" t="str">
        <f>VLOOKUP(Table37[[#This Row],[GOD]],' Raw Data for God Type'!A:I,6)</f>
        <v>Average</v>
      </c>
      <c r="M119" s="4" t="str">
        <f>VLOOKUP(Table37[[#This Row],[GOD]],' Raw Data for God Type'!A:I,3)</f>
        <v>Ranged</v>
      </c>
      <c r="N119" s="4" t="str">
        <f>VLOOKUP(Table37[[#This Row],[GOD]],' Raw Data for God Type'!A:I,4)</f>
        <v>Magical</v>
      </c>
      <c r="O119" s="11">
        <f>VLOOKUP(Table37[[#This Row],[GOD]],' Raw Data for God Type'!$A$2:$I$121,9)</f>
        <v>44670</v>
      </c>
      <c r="Q119">
        <v>0</v>
      </c>
      <c r="R119">
        <f t="shared" si="5"/>
        <v>0</v>
      </c>
      <c r="S119">
        <f t="shared" si="6"/>
        <v>0</v>
      </c>
      <c r="T119">
        <f t="shared" si="7"/>
        <v>1</v>
      </c>
      <c r="U119">
        <f t="shared" si="8"/>
        <v>0</v>
      </c>
      <c r="V119">
        <f t="shared" si="9"/>
        <v>0</v>
      </c>
    </row>
    <row r="120" spans="1:22" x14ac:dyDescent="0.25">
      <c r="A120" s="4" t="s">
        <v>44</v>
      </c>
      <c r="B120" s="4">
        <v>0.53310000000000002</v>
      </c>
      <c r="C120" s="4">
        <v>9614</v>
      </c>
      <c r="D120" s="4">
        <v>1.54</v>
      </c>
      <c r="E120" s="4">
        <v>21388</v>
      </c>
      <c r="F120" s="4">
        <v>75</v>
      </c>
      <c r="G120" s="4">
        <v>6763</v>
      </c>
      <c r="H120" s="5">
        <f>Table37[[#This Row],[MATCHES]]*Table37[[#This Row],[WIN RATE]]</f>
        <v>5125.2233999999999</v>
      </c>
      <c r="I120" s="5">
        <f>Table37[[#This Row],[MATCHES]]-Table37[[#This Row],[Number of wins]]</f>
        <v>4488.7766000000001</v>
      </c>
      <c r="J120" s="4" t="str">
        <f>VLOOKUP(Table37[[#This Row],[GOD]],' Raw Data for God Type'!A:I,2)</f>
        <v>Greek</v>
      </c>
      <c r="K120" s="4" t="str">
        <f>VLOOKUP(Table37[[#This Row],[GOD]],' Raw Data for God Type'!A:I,5)</f>
        <v>Mage</v>
      </c>
      <c r="L120" s="4" t="str">
        <f>VLOOKUP(Table37[[#This Row],[GOD]],' Raw Data for God Type'!A:I,6)</f>
        <v>Average</v>
      </c>
      <c r="M120" s="4" t="str">
        <f>VLOOKUP(Table37[[#This Row],[GOD]],' Raw Data for God Type'!A:I,3)</f>
        <v>Ranged</v>
      </c>
      <c r="N120" s="4" t="str">
        <f>VLOOKUP(Table37[[#This Row],[GOD]],' Raw Data for God Type'!A:I,4)</f>
        <v>Magical</v>
      </c>
      <c r="O120" s="11">
        <f>VLOOKUP(Table37[[#This Row],[GOD]],' Raw Data for God Type'!$A$2:$I$121,9)</f>
        <v>41060</v>
      </c>
      <c r="Q120">
        <v>0</v>
      </c>
      <c r="R120">
        <f t="shared" si="5"/>
        <v>0</v>
      </c>
      <c r="S120">
        <f t="shared" si="6"/>
        <v>0</v>
      </c>
      <c r="T120">
        <f t="shared" si="7"/>
        <v>1</v>
      </c>
      <c r="U120">
        <f t="shared" si="8"/>
        <v>0</v>
      </c>
      <c r="V120">
        <f t="shared" si="9"/>
        <v>0</v>
      </c>
    </row>
    <row r="121" spans="1:22" x14ac:dyDescent="0.25">
      <c r="A121" s="4" t="s">
        <v>140</v>
      </c>
      <c r="B121" s="4">
        <v>0.50229999999999997</v>
      </c>
      <c r="C121" s="4">
        <v>5839</v>
      </c>
      <c r="D121" s="4">
        <v>1.61</v>
      </c>
      <c r="E121" s="4">
        <v>19287</v>
      </c>
      <c r="F121" s="4">
        <v>109</v>
      </c>
      <c r="G121" s="4">
        <v>19582</v>
      </c>
      <c r="H121" s="5">
        <f>Table37[[#This Row],[MATCHES]]*Table37[[#This Row],[WIN RATE]]</f>
        <v>2932.9296999999997</v>
      </c>
      <c r="I121" s="5">
        <f>Table37[[#This Row],[MATCHES]]-Table37[[#This Row],[Number of wins]]</f>
        <v>2906.0703000000003</v>
      </c>
      <c r="J121" s="4" t="str">
        <f>VLOOKUP(Table37[[#This Row],[GOD]],' Raw Data for God Type'!A:I,2)</f>
        <v>Chinese</v>
      </c>
      <c r="K121" s="4" t="str">
        <f>VLOOKUP(Table37[[#This Row],[GOD]],' Raw Data for God Type'!A:I,5)</f>
        <v>Mage</v>
      </c>
      <c r="L121" s="4" t="str">
        <f>VLOOKUP(Table37[[#This Row],[GOD]],' Raw Data for God Type'!A:I,6)</f>
        <v>Easy</v>
      </c>
      <c r="M121" s="4" t="str">
        <f>VLOOKUP(Table37[[#This Row],[GOD]],' Raw Data for God Type'!A:I,3)</f>
        <v>Ranged</v>
      </c>
      <c r="N121" s="4" t="str">
        <f>VLOOKUP(Table37[[#This Row],[GOD]],' Raw Data for God Type'!A:I,4)</f>
        <v>Magical</v>
      </c>
      <c r="O121" s="11">
        <f>VLOOKUP(Table37[[#This Row],[GOD]],' Raw Data for God Type'!$A$2:$I$121,9)</f>
        <v>41514</v>
      </c>
      <c r="Q121">
        <v>0</v>
      </c>
      <c r="R121">
        <f t="shared" si="5"/>
        <v>0</v>
      </c>
      <c r="S121">
        <f t="shared" si="6"/>
        <v>0</v>
      </c>
      <c r="T121">
        <f t="shared" si="7"/>
        <v>1</v>
      </c>
      <c r="U121">
        <f t="shared" si="8"/>
        <v>0</v>
      </c>
      <c r="V121">
        <f t="shared" si="9"/>
        <v>0</v>
      </c>
    </row>
    <row r="122" spans="1:22" ht="15.75" thickBot="1" x14ac:dyDescent="0.3">
      <c r="R122">
        <f>SUMPRODUCT(R2:R121,$Q$2:$Q$121)</f>
        <v>1</v>
      </c>
      <c r="S122">
        <f t="shared" ref="S122:V122" si="10">SUMPRODUCT(S2:S121,$Q$2:$Q$121)</f>
        <v>1</v>
      </c>
      <c r="T122">
        <f t="shared" si="10"/>
        <v>1</v>
      </c>
      <c r="U122">
        <f t="shared" si="10"/>
        <v>1</v>
      </c>
      <c r="V122">
        <f t="shared" si="10"/>
        <v>1</v>
      </c>
    </row>
    <row r="123" spans="1:22" ht="15.75" thickBot="1" x14ac:dyDescent="0.3">
      <c r="A123" t="s">
        <v>416</v>
      </c>
      <c r="B123">
        <f>SUMPRODUCT(Table37[WIN RATE],$Q$2:$Q$121)</f>
        <v>2.7545999999999999</v>
      </c>
      <c r="C123">
        <f>SUMPRODUCT(Table37[MATCHES],$Q$2:$Q$121)</f>
        <v>59918</v>
      </c>
      <c r="D123">
        <f>SUMPRODUCT(Table37[KDA],$Q$2:$Q$121)</f>
        <v>9.379999999999999</v>
      </c>
      <c r="E123">
        <f>SUMPRODUCT(Table37[DAMAGE],$Q$2:$Q$121)</f>
        <v>84723</v>
      </c>
      <c r="F123">
        <f>SUMPRODUCT(Table37[HEALING],$Q$2:$Q$121)</f>
        <v>969</v>
      </c>
      <c r="G123">
        <f>SUMPRODUCT(Table37[MITIGATED],$Q$2:$Q$121)</f>
        <v>86143</v>
      </c>
      <c r="H123">
        <f>SUMPRODUCT(Table37[Number of wins],$Q$2:$Q$121)</f>
        <v>33022.397599999997</v>
      </c>
      <c r="I123">
        <f>SUMPRODUCT(Table37[Number of Losses],$Q$2:$Q$121)</f>
        <v>26895.602399999996</v>
      </c>
      <c r="O123" s="12" t="s">
        <v>417</v>
      </c>
      <c r="P123" s="10"/>
      <c r="Q123" s="8">
        <f>SUM(Q2:Q121)</f>
        <v>5</v>
      </c>
    </row>
    <row r="124" spans="1:22" x14ac:dyDescent="0.25">
      <c r="A124" t="s">
        <v>418</v>
      </c>
      <c r="B124">
        <f>B123/5</f>
        <v>0.55091999999999997</v>
      </c>
      <c r="O124" s="13"/>
      <c r="P124" s="9"/>
      <c r="Q124" s="9"/>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5ADDA-F800-4636-8C38-B96ECC7F4D7E}">
  <sheetPr codeName="Sheet6"/>
  <dimension ref="A3:M12"/>
  <sheetViews>
    <sheetView tabSelected="1" workbookViewId="0">
      <selection activeCell="D12" sqref="D12"/>
    </sheetView>
  </sheetViews>
  <sheetFormatPr defaultRowHeight="15" x14ac:dyDescent="0.25"/>
  <cols>
    <col min="1" max="1" width="20.140625" bestFit="1" customWidth="1"/>
    <col min="2" max="2" width="16.28515625" bestFit="1" customWidth="1"/>
    <col min="3" max="12" width="7.140625" bestFit="1" customWidth="1"/>
    <col min="13" max="13" width="11.28515625" bestFit="1" customWidth="1"/>
    <col min="14" max="14" width="8.85546875" bestFit="1" customWidth="1"/>
    <col min="15" max="15" width="7.140625" bestFit="1" customWidth="1"/>
    <col min="16" max="16" width="8.28515625" bestFit="1" customWidth="1"/>
    <col min="17" max="17" width="7.140625" bestFit="1" customWidth="1"/>
    <col min="18" max="18" width="9.28515625" bestFit="1" customWidth="1"/>
    <col min="19" max="19" width="7.140625" bestFit="1" customWidth="1"/>
    <col min="20" max="20" width="9.140625" bestFit="1" customWidth="1"/>
    <col min="21" max="21" width="7.140625" bestFit="1" customWidth="1"/>
    <col min="22" max="22" width="8.85546875" bestFit="1" customWidth="1"/>
    <col min="23" max="23" width="7.140625" bestFit="1" customWidth="1"/>
    <col min="24" max="24" width="9.42578125" bestFit="1" customWidth="1"/>
    <col min="25" max="25" width="7.140625" bestFit="1" customWidth="1"/>
    <col min="26" max="26" width="9.140625" bestFit="1" customWidth="1"/>
    <col min="27" max="27" width="9.85546875" bestFit="1" customWidth="1"/>
    <col min="28" max="36" width="7.140625" bestFit="1" customWidth="1"/>
    <col min="37" max="37" width="11.28515625" bestFit="1" customWidth="1"/>
    <col min="38" max="38" width="8" bestFit="1" customWidth="1"/>
    <col min="39" max="42" width="7.140625" bestFit="1" customWidth="1"/>
    <col min="43" max="43" width="9.7109375" bestFit="1" customWidth="1"/>
    <col min="44" max="53" width="7.140625" bestFit="1" customWidth="1"/>
    <col min="54" max="54" width="12" bestFit="1" customWidth="1"/>
    <col min="55" max="55" width="7.140625" bestFit="1" customWidth="1"/>
    <col min="56" max="56" width="8" bestFit="1" customWidth="1"/>
    <col min="57" max="58" width="7.140625" bestFit="1" customWidth="1"/>
    <col min="59" max="59" width="8.28515625" bestFit="1" customWidth="1"/>
    <col min="60" max="69" width="7.140625" bestFit="1" customWidth="1"/>
    <col min="70" max="70" width="12" bestFit="1" customWidth="1"/>
    <col min="71" max="74" width="7.140625" bestFit="1" customWidth="1"/>
    <col min="75" max="75" width="9.140625" bestFit="1" customWidth="1"/>
    <col min="76" max="77" width="8" bestFit="1" customWidth="1"/>
    <col min="78" max="83" width="7.140625" bestFit="1" customWidth="1"/>
    <col min="84" max="84" width="12" bestFit="1" customWidth="1"/>
    <col min="85" max="90" width="7.140625" bestFit="1" customWidth="1"/>
    <col min="91" max="91" width="12" bestFit="1" customWidth="1"/>
    <col min="92" max="92" width="7.140625" bestFit="1" customWidth="1"/>
    <col min="93" max="93" width="8" bestFit="1" customWidth="1"/>
    <col min="94" max="98" width="7.140625" bestFit="1" customWidth="1"/>
    <col min="99" max="99" width="10" bestFit="1" customWidth="1"/>
    <col min="100" max="100" width="11.28515625" bestFit="1" customWidth="1"/>
    <col min="101" max="103" width="7.140625" bestFit="1" customWidth="1"/>
    <col min="104" max="104" width="9.7109375" bestFit="1" customWidth="1"/>
    <col min="105" max="105" width="8" bestFit="1" customWidth="1"/>
    <col min="106" max="106" width="7.140625" bestFit="1" customWidth="1"/>
    <col min="107" max="107" width="9.7109375" bestFit="1" customWidth="1"/>
    <col min="108" max="108" width="7.140625" bestFit="1" customWidth="1"/>
    <col min="109" max="109" width="9.7109375" bestFit="1" customWidth="1"/>
    <col min="110" max="111" width="7.140625" bestFit="1" customWidth="1"/>
    <col min="112" max="112" width="9.7109375" bestFit="1" customWidth="1"/>
    <col min="113" max="113" width="12" bestFit="1" customWidth="1"/>
    <col min="114" max="114" width="7.140625" bestFit="1" customWidth="1"/>
    <col min="115" max="115" width="9.7109375" bestFit="1" customWidth="1"/>
    <col min="116" max="117" width="7.140625" bestFit="1" customWidth="1"/>
    <col min="118" max="118" width="9.7109375" bestFit="1" customWidth="1"/>
    <col min="119" max="119" width="7.140625" bestFit="1" customWidth="1"/>
    <col min="120" max="120" width="9.7109375" bestFit="1" customWidth="1"/>
    <col min="121" max="121" width="7.140625" bestFit="1" customWidth="1"/>
    <col min="122" max="122" width="9.7109375" bestFit="1" customWidth="1"/>
    <col min="123" max="123" width="9.85546875" bestFit="1" customWidth="1"/>
    <col min="124" max="124" width="7.140625" bestFit="1" customWidth="1"/>
    <col min="125" max="125" width="9.7109375" bestFit="1" customWidth="1"/>
    <col min="126" max="127" width="7.140625" bestFit="1" customWidth="1"/>
    <col min="128" max="128" width="9.7109375" bestFit="1" customWidth="1"/>
    <col min="129" max="129" width="7.140625" bestFit="1" customWidth="1"/>
    <col min="130" max="130" width="9.7109375" bestFit="1" customWidth="1"/>
    <col min="131" max="132" width="7.140625" bestFit="1" customWidth="1"/>
    <col min="133" max="133" width="9.7109375" bestFit="1" customWidth="1"/>
    <col min="134" max="134" width="9.85546875" bestFit="1" customWidth="1"/>
    <col min="135" max="135" width="7.140625" bestFit="1" customWidth="1"/>
    <col min="136" max="136" width="9.7109375" bestFit="1" customWidth="1"/>
    <col min="137" max="137" width="7.140625" bestFit="1" customWidth="1"/>
    <col min="138" max="138" width="9.7109375" bestFit="1" customWidth="1"/>
    <col min="139" max="139" width="9.85546875" bestFit="1" customWidth="1"/>
    <col min="140" max="140" width="11.28515625" bestFit="1" customWidth="1"/>
  </cols>
  <sheetData>
    <row r="3" spans="1:13" x14ac:dyDescent="0.25">
      <c r="A3" s="14" t="s">
        <v>423</v>
      </c>
      <c r="B3" s="14" t="s">
        <v>422</v>
      </c>
    </row>
    <row r="4" spans="1:13" x14ac:dyDescent="0.25">
      <c r="B4" t="s">
        <v>424</v>
      </c>
      <c r="C4" t="s">
        <v>425</v>
      </c>
      <c r="D4" t="s">
        <v>426</v>
      </c>
      <c r="E4" t="s">
        <v>427</v>
      </c>
      <c r="F4" t="s">
        <v>428</v>
      </c>
      <c r="G4" t="s">
        <v>429</v>
      </c>
      <c r="H4" t="s">
        <v>430</v>
      </c>
      <c r="I4" t="s">
        <v>431</v>
      </c>
      <c r="J4" t="s">
        <v>432</v>
      </c>
      <c r="K4" t="s">
        <v>433</v>
      </c>
      <c r="L4" t="s">
        <v>434</v>
      </c>
      <c r="M4" t="s">
        <v>421</v>
      </c>
    </row>
    <row r="6" spans="1:13" x14ac:dyDescent="0.25">
      <c r="A6" s="14" t="s">
        <v>420</v>
      </c>
    </row>
    <row r="7" spans="1:13" x14ac:dyDescent="0.25">
      <c r="A7" s="15" t="s">
        <v>413</v>
      </c>
      <c r="B7" s="1">
        <v>0.51597142857142853</v>
      </c>
      <c r="C7" s="1">
        <v>0.48934999999999995</v>
      </c>
      <c r="D7" s="1">
        <v>0.46446666666666664</v>
      </c>
      <c r="E7" s="1">
        <v>0.47450000000000003</v>
      </c>
      <c r="F7" s="1">
        <v>0.47545000000000004</v>
      </c>
      <c r="G7" s="1">
        <v>0.48249999999999998</v>
      </c>
      <c r="H7" s="1">
        <v>0.50590000000000002</v>
      </c>
      <c r="I7" s="1">
        <v>0.46939999999999998</v>
      </c>
      <c r="J7" s="1">
        <v>0.50739999999999996</v>
      </c>
      <c r="K7" s="1">
        <v>0.54190000000000005</v>
      </c>
      <c r="L7" s="1"/>
      <c r="M7" s="1">
        <v>0.4943304347826088</v>
      </c>
    </row>
    <row r="8" spans="1:13" x14ac:dyDescent="0.25">
      <c r="A8" s="15" t="s">
        <v>414</v>
      </c>
      <c r="B8" s="1">
        <v>0.50117500000000004</v>
      </c>
      <c r="C8" s="1">
        <v>0.49540000000000001</v>
      </c>
      <c r="D8" s="1">
        <v>0.50647500000000001</v>
      </c>
      <c r="E8" s="1">
        <v>0.53620000000000001</v>
      </c>
      <c r="F8" s="1">
        <v>0.50214999999999999</v>
      </c>
      <c r="G8" s="1">
        <v>0.49363333333333331</v>
      </c>
      <c r="H8" s="1">
        <v>0.4718</v>
      </c>
      <c r="I8" s="1">
        <v>0.49104999999999999</v>
      </c>
      <c r="J8" s="1">
        <v>0.50080000000000002</v>
      </c>
      <c r="K8" s="1">
        <v>0.51219999999999999</v>
      </c>
      <c r="L8" s="1"/>
      <c r="M8" s="1">
        <v>0.50240476190476202</v>
      </c>
    </row>
    <row r="9" spans="1:13" x14ac:dyDescent="0.25">
      <c r="A9" s="15" t="s">
        <v>412</v>
      </c>
      <c r="B9" s="1">
        <v>0.51787500000000009</v>
      </c>
      <c r="C9" s="1">
        <v>0.50559999999999994</v>
      </c>
      <c r="D9" s="1">
        <v>0.48815000000000003</v>
      </c>
      <c r="E9" s="1">
        <v>0.50993333333333324</v>
      </c>
      <c r="F9" s="1">
        <v>0.5217666666666666</v>
      </c>
      <c r="G9" s="1">
        <v>0.50114999999999998</v>
      </c>
      <c r="H9" s="1">
        <v>0.53249999999999997</v>
      </c>
      <c r="I9" s="1">
        <v>0.47220000000000001</v>
      </c>
      <c r="J9" s="1">
        <v>0.50780000000000003</v>
      </c>
      <c r="K9" s="1">
        <v>0.47339999999999999</v>
      </c>
      <c r="L9" s="1"/>
      <c r="M9" s="1">
        <v>0.50704285714285713</v>
      </c>
    </row>
    <row r="10" spans="1:13" x14ac:dyDescent="0.25">
      <c r="A10" s="15" t="s">
        <v>411</v>
      </c>
      <c r="B10" s="1">
        <v>0.51176666666666681</v>
      </c>
      <c r="C10" s="1">
        <v>0.52435000000000009</v>
      </c>
      <c r="D10" s="1">
        <v>0.48697500000000005</v>
      </c>
      <c r="E10" s="1">
        <v>0.50929999999999997</v>
      </c>
      <c r="F10" s="1">
        <v>0.45979999999999999</v>
      </c>
      <c r="G10" s="1">
        <v>0.50949999999999995</v>
      </c>
      <c r="H10" s="1">
        <v>0.53469999999999995</v>
      </c>
      <c r="I10" s="1">
        <v>0.50333333333333341</v>
      </c>
      <c r="J10" s="1">
        <v>0.52339999999999998</v>
      </c>
      <c r="K10" s="1">
        <v>0.49304999999999999</v>
      </c>
      <c r="L10" s="1">
        <v>0.4506</v>
      </c>
      <c r="M10" s="1">
        <v>0.5068138888888889</v>
      </c>
    </row>
    <row r="11" spans="1:13" x14ac:dyDescent="0.25">
      <c r="A11" s="15" t="s">
        <v>410</v>
      </c>
      <c r="B11" s="1">
        <v>0.51989999999999992</v>
      </c>
      <c r="C11" s="1">
        <v>0.47885</v>
      </c>
      <c r="D11" s="1">
        <v>0.49659999999999999</v>
      </c>
      <c r="E11" s="1">
        <v>0.54400000000000004</v>
      </c>
      <c r="F11" s="1">
        <v>0.51613333333333333</v>
      </c>
      <c r="G11" s="1">
        <v>0.47149999999999997</v>
      </c>
      <c r="H11" s="1">
        <v>0.46760000000000002</v>
      </c>
      <c r="I11" s="1">
        <v>0.48630000000000001</v>
      </c>
      <c r="J11" s="1">
        <v>0.5131</v>
      </c>
      <c r="K11" s="1">
        <v>0.49480000000000002</v>
      </c>
      <c r="L11" s="1">
        <v>0.53600000000000003</v>
      </c>
      <c r="M11" s="1">
        <v>0.50103684210526322</v>
      </c>
    </row>
    <row r="12" spans="1:13" x14ac:dyDescent="0.25">
      <c r="A12" s="15" t="s">
        <v>421</v>
      </c>
      <c r="B12" s="1">
        <v>0.51309629629629627</v>
      </c>
      <c r="C12" s="1">
        <v>0.50399000000000005</v>
      </c>
      <c r="D12" s="1">
        <v>0.48857857142857142</v>
      </c>
      <c r="E12" s="1">
        <v>0.51138000000000017</v>
      </c>
      <c r="F12" s="1">
        <v>0.49904166666666677</v>
      </c>
      <c r="G12" s="1">
        <v>0.4951333333333332</v>
      </c>
      <c r="H12" s="1">
        <v>0.50786666666666669</v>
      </c>
      <c r="I12" s="1">
        <v>0.48958888888888885</v>
      </c>
      <c r="J12" s="1">
        <v>0.51050000000000006</v>
      </c>
      <c r="K12" s="1">
        <v>0.50140000000000007</v>
      </c>
      <c r="L12" s="1">
        <v>0.49330000000000002</v>
      </c>
      <c r="M12" s="1">
        <v>0.50277500000000008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 Raw Data for God Type</vt:lpstr>
      <vt:lpstr>SrcData</vt:lpstr>
      <vt:lpstr>OrganizedData</vt:lpstr>
      <vt:lpstr>Transposed Table</vt:lpstr>
      <vt:lpstr>Solver Example</vt:lpstr>
      <vt:lpstr>God Release by year</vt:lpstr>
      <vt:lpstr>SrcData!Smite_data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zdavl</dc:creator>
  <cp:lastModifiedBy>zdavl</cp:lastModifiedBy>
  <dcterms:created xsi:type="dcterms:W3CDTF">2022-04-24T17:53:15Z</dcterms:created>
  <dcterms:modified xsi:type="dcterms:W3CDTF">2022-04-29T15:45:59Z</dcterms:modified>
</cp:coreProperties>
</file>